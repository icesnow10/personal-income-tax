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input" sheetId="2" r:id="rId5"/>
    <sheet state="visible" name="do_not_change__calculation_memo" sheetId="3" r:id="rId6"/>
    <sheet state="visible" name="aux_ptax_historical_data" sheetId="4" r:id="rId7"/>
    <sheet state="visible" name="output" sheetId="5" r:id="rId8"/>
  </sheets>
  <definedNames/>
  <calcPr/>
  <extLst>
    <ext uri="GoogleSheetsCustomDataVersion2">
      <go:sheetsCustomData xmlns:go="http://customooxmlschemas.google.com/" r:id="rId9" roundtripDataChecksum="Gw22zYEnWLnAl5aZFz5fUJXtoixPB2un49H1wootcx0="/>
    </ext>
  </extLst>
</workbook>
</file>

<file path=xl/sharedStrings.xml><?xml version="1.0" encoding="utf-8"?>
<sst xmlns="http://schemas.openxmlformats.org/spreadsheetml/2006/main" count="601" uniqueCount="64">
  <si>
    <t xml:space="preserve">Essa planilha, disponibilizada pela equipe de consultoria da Grant Thornton, busca auxiliar nubankers com a declaração de RSUs vested e ações da Nu Holdings LTD negociadas ao longo do ano no programa de IRPF anual. </t>
  </si>
  <si>
    <t>Vale ressaltar que os documentos apresentados não têm como objetivo fornecer uma consultoria tributária abrangente nem substituir as orientações de um consultor fiscal especializado, destinando-se exclusivamente a pessoas físicas consideradas residentes fiscais do Brasil.</t>
  </si>
  <si>
    <t>OBS: As células com texto em azul indicam fórmulas, sendo necessário o preenchimento apenas das células em amarelo.</t>
  </si>
  <si>
    <t>OBS 2: Caso realize uma cópia deste arquivo, certifique-se de realizá-la como arquivo Google Sheets, pois algumas fórmulas podem se perder caso o arquivo seja convertido para Excel (.xlsx).</t>
  </si>
  <si>
    <t>Caso não tenha adquirido nenhuma ação neste período anterior, a quantidade informada no campo "Situação em 31/12/2024" deve ser R$ 0, bem como o preço médio.</t>
  </si>
  <si>
    <t>- Insira as informações de quantidades de ações líquidas liberadas em sua conta do E*Trade em cada um dos vestings que ocorreram durante o ano.</t>
  </si>
  <si>
    <t>Os períodos de vestings são fixos, portanto as informações de data, preço de fechamento da ação e PTAX Venda já estão definidos e não precisam ser alterados.</t>
  </si>
  <si>
    <t>Assim, nessa sessão é necessário apenas inserir apenas as quantidades de ações liberadas. Você pode encontrar essa informações no documento de "Confirmation of Release", dentro das informações de cada vesting, de cada grant, no E*Trade</t>
  </si>
  <si>
    <t>- Insira as informações referentes as vendas de ações realizadas, mais especificamente a data da venda, a quantidade de ações vendidas e o valor pelo qual a ação foi vendida (unitário).</t>
  </si>
  <si>
    <t>A partir dessas informações, os valores de câmbio PTAX e preço em reais da ação serão automaticamente calculados.</t>
  </si>
  <si>
    <t>- As suas informações de vestings e vendas, já calculados na sheet "Input de Informações" até então, serão automaticamente passadas na aba "Auxiliar", em ordem cronológica dos eventos. Para vestings, os eventos chamarão "Vesting" e, para vendas, o nome "Venda". Verifique se as informações de data, tipo de evento, quantidade vested/vendida e valor do vesting/venda estão sendo corretamente copiadas.</t>
  </si>
  <si>
    <t>Com essas informações passadas para a aba "Auxiliar", o cálculo de estoque e preço médio será realizado automaticamente.</t>
  </si>
  <si>
    <t>- Uma vez que os campos de quantidade inicial, preço médio inicial, quantidade de ações liberadas, data, quantidade e preço das ações vendidas são informados na primeira aba, e os campos de data, tipo de evento, quantidade e valor preenchidos na segunda aba, na aba "Output de informações" será automaticamente calculado os valores de "Lucro ou Prejuízo" apurados, bem como o estoque final de ações e preço médio em 31 de dezembro de 2024.</t>
  </si>
  <si>
    <t>Esses são os principais valores que precisam estar incluídos em sua declaração.</t>
  </si>
  <si>
    <t>- Há uma aba com o histórico com os valores de PTAX díarios referente aos anos de 2024 e 2025, que já está sendo utilizada automaticamente em fórmulas das outras abas da planilha.</t>
  </si>
  <si>
    <t>Information declared in prior year (2024)</t>
  </si>
  <si>
    <t>Detail in the 'Description' field</t>
  </si>
  <si>
    <t>date</t>
  </si>
  <si>
    <t>event</t>
  </si>
  <si>
    <t>declared_quantity</t>
  </si>
  <si>
    <t>declared_avg_price_brl</t>
  </si>
  <si>
    <t>position_2024_12_31_brl</t>
  </si>
  <si>
    <t>avg_cost_usd</t>
  </si>
  <si>
    <t>total_cost_usd</t>
  </si>
  <si>
    <t>Saldo inicial</t>
  </si>
  <si>
    <t>Vesting of RSUs (Acquisition of Nu Holdings LTD shares)</t>
  </si>
  <si>
    <t>quantity_released</t>
  </si>
  <si>
    <t>share_closing_price_usd</t>
  </si>
  <si>
    <t>fx_rate_brl_usd_ptax_sell</t>
  </si>
  <si>
    <t>share_value_brl</t>
  </si>
  <si>
    <t>total_value_brl</t>
  </si>
  <si>
    <t>total_value_usd</t>
  </si>
  <si>
    <t>Vesting</t>
  </si>
  <si>
    <t>total</t>
  </si>
  <si>
    <t>Sale of shares (if applicable)</t>
  </si>
  <si>
    <t>quantity_sold</t>
  </si>
  <si>
    <t>sale_price_usd</t>
  </si>
  <si>
    <t>fx_rate_brl_usd_ptax_buy</t>
  </si>
  <si>
    <t>Cálculo de ganho/perda de capital (se aplicável)</t>
  </si>
  <si>
    <t>Quantidade</t>
  </si>
  <si>
    <t>Valor em Reais</t>
  </si>
  <si>
    <t>Valor em Dólares</t>
  </si>
  <si>
    <t>quantity_vested_sold</t>
  </si>
  <si>
    <t>vesting_sale_price_usd</t>
  </si>
  <si>
    <t>fx_rate_brl_usd</t>
  </si>
  <si>
    <t>avg_price_to_date_brl</t>
  </si>
  <si>
    <t>gain_loss_brl</t>
  </si>
  <si>
    <t>Inicial</t>
  </si>
  <si>
    <t>Entra</t>
  </si>
  <si>
    <t>Sai</t>
  </si>
  <si>
    <t>Final</t>
  </si>
  <si>
    <t>currency</t>
  </si>
  <si>
    <t>ptax_buy</t>
  </si>
  <si>
    <t>ptax_sell</t>
  </si>
  <si>
    <t>USD</t>
  </si>
  <si>
    <t>Capital gain/loss calculation (if applicable)</t>
  </si>
  <si>
    <t>Information for current declaration (2025) - Assets and Rights</t>
  </si>
  <si>
    <t>Detalhe no campo 'Discriminação'</t>
  </si>
  <si>
    <t>final_quantity</t>
  </si>
  <si>
    <t>final_avg_price_brl</t>
  </si>
  <si>
    <t>position_2025_12_31_brl</t>
  </si>
  <si>
    <t>Cálculo</t>
  </si>
  <si>
    <t>Capital gain assessment (in case of sale)</t>
  </si>
  <si>
    <t>total_profit_or_loss_brl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</si>
</sst>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yyyy-mm-dd"/>
    <numFmt numFmtId="165" formatCode="#,##0;\(#,##0\)"/>
    <numFmt numFmtId="166" formatCode="[$R$]#,##0.0000"/>
    <numFmt numFmtId="167" formatCode="[$R$]#,##0.00"/>
    <numFmt numFmtId="168" formatCode="[$USD]\ #,##0.0000;\-[$USD]\ #,##0.0000"/>
    <numFmt numFmtId="169" formatCode="[$USD]\ #,##0.00;\-[$USD]\ #,##0.00"/>
    <numFmt numFmtId="170" formatCode="&quot;$&quot;#,##0.00"/>
    <numFmt numFmtId="171" formatCode="yyyy&quot;-&quot;mm&quot;-&quot;dd"/>
    <numFmt numFmtId="172" formatCode="#,##0.0000;\(#,##0.0000\)"/>
    <numFmt numFmtId="173" formatCode="m/d/yyyy"/>
  </numFmts>
  <fonts count="16">
    <font>
      <sz val="10.0"/>
      <color rgb="FF000000"/>
      <name val="Arial"/>
      <scheme val="minor"/>
    </font>
    <font>
      <sz val="10.0"/>
      <color rgb="FF000000"/>
      <name val="Arial"/>
    </font>
    <font>
      <color theme="1"/>
      <name val="Helvetica Neue"/>
    </font>
    <font>
      <color theme="1"/>
      <name val="Arial"/>
    </font>
    <font>
      <b/>
      <color theme="1"/>
      <name val="Helvetica Neue"/>
    </font>
    <font>
      <sz val="10.0"/>
      <color theme="1"/>
      <name val="Helvetica Neue"/>
    </font>
    <font>
      <b/>
      <color rgb="FFFFFFFF"/>
      <name val="Helvetica Neue"/>
    </font>
    <font/>
    <font>
      <b/>
      <sz val="10.0"/>
      <color theme="1"/>
      <name val="Helvetica Neue"/>
    </font>
    <font>
      <color rgb="FF0000FF"/>
      <name val="Helvetica Neue"/>
    </font>
    <font>
      <sz val="10.0"/>
      <color rgb="FF000000"/>
      <name val="Helvetica Neue"/>
    </font>
    <font>
      <sz val="10.0"/>
      <color rgb="FF0000FF"/>
      <name val="Helvetica Neue"/>
    </font>
    <font>
      <b/>
      <sz val="10.0"/>
      <color rgb="FFFFFFFF"/>
      <name val="Helvetica Neue"/>
    </font>
    <font>
      <b/>
      <color theme="1"/>
      <name val="Arial"/>
    </font>
    <font>
      <sz val="10.0"/>
      <color theme="1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9900FF"/>
        <bgColor rgb="FF9900FF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shrinkToFit="0" vertical="bottom" wrapText="1"/>
    </xf>
    <xf quotePrefix="1" borderId="0" fillId="0" fontId="4" numFmtId="0" xfId="0" applyAlignment="1" applyFont="1">
      <alignment vertical="bottom"/>
    </xf>
    <xf quotePrefix="1" borderId="0" fillId="0" fontId="2" numFmtId="0" xfId="0" applyAlignment="1" applyFont="1">
      <alignment vertical="bottom"/>
    </xf>
    <xf borderId="0" fillId="0" fontId="5" numFmtId="0" xfId="0" applyAlignment="1" applyFont="1">
      <alignment vertical="center"/>
    </xf>
    <xf borderId="1" fillId="2" fontId="6" numFmtId="0" xfId="0" applyAlignment="1" applyBorder="1" applyFill="1" applyFont="1">
      <alignment horizontal="center"/>
    </xf>
    <xf borderId="2" fillId="0" fontId="7" numFmtId="0" xfId="0" applyBorder="1" applyFont="1"/>
    <xf borderId="3" fillId="0" fontId="7" numFmtId="0" xfId="0" applyBorder="1" applyFont="1"/>
    <xf borderId="1" fillId="3" fontId="4" numFmtId="0" xfId="0" applyAlignment="1" applyBorder="1" applyFill="1" applyFont="1">
      <alignment horizontal="center"/>
    </xf>
    <xf borderId="4" fillId="0" fontId="7" numFmtId="0" xfId="0" applyBorder="1" applyFont="1"/>
    <xf borderId="0" fillId="0" fontId="8" numFmtId="0" xfId="0" applyAlignment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 shrinkToFit="0" wrapText="1"/>
    </xf>
    <xf borderId="5" fillId="0" fontId="9" numFmtId="164" xfId="0" applyAlignment="1" applyBorder="1" applyFont="1" applyNumberFormat="1">
      <alignment horizontal="center"/>
    </xf>
    <xf borderId="5" fillId="0" fontId="9" numFmtId="0" xfId="0" applyAlignment="1" applyBorder="1" applyFont="1">
      <alignment horizontal="center"/>
    </xf>
    <xf borderId="5" fillId="4" fontId="2" numFmtId="165" xfId="0" applyAlignment="1" applyBorder="1" applyFill="1" applyFont="1" applyNumberFormat="1">
      <alignment horizontal="right" vertical="bottom"/>
    </xf>
    <xf borderId="5" fillId="4" fontId="2" numFmtId="166" xfId="0" applyAlignment="1" applyBorder="1" applyFont="1" applyNumberFormat="1">
      <alignment horizontal="right"/>
    </xf>
    <xf borderId="1" fillId="0" fontId="9" numFmtId="167" xfId="0" applyAlignment="1" applyBorder="1" applyFont="1" applyNumberFormat="1">
      <alignment horizontal="right"/>
    </xf>
    <xf borderId="5" fillId="4" fontId="2" numFmtId="168" xfId="0" applyAlignment="1" applyBorder="1" applyFont="1" applyNumberFormat="1">
      <alignment horizontal="right"/>
    </xf>
    <xf borderId="5" fillId="0" fontId="9" numFmtId="169" xfId="0" applyAlignment="1" applyBorder="1" applyFont="1" applyNumberFormat="1">
      <alignment horizontal="right"/>
    </xf>
    <xf borderId="0" fillId="0" fontId="5" numFmtId="169" xfId="0" applyAlignment="1" applyFont="1" applyNumberFormat="1">
      <alignment vertical="center"/>
    </xf>
    <xf borderId="5" fillId="0" fontId="9" numFmtId="166" xfId="0" applyAlignment="1" applyBorder="1" applyFont="1" applyNumberFormat="1">
      <alignment horizontal="right"/>
    </xf>
    <xf borderId="5" fillId="0" fontId="9" numFmtId="167" xfId="0" applyAlignment="1" applyBorder="1" applyFont="1" applyNumberFormat="1">
      <alignment horizontal="right"/>
    </xf>
    <xf borderId="0" fillId="0" fontId="10" numFmtId="169" xfId="0" applyAlignment="1" applyFont="1" applyNumberFormat="1">
      <alignment vertical="center"/>
    </xf>
    <xf borderId="5" fillId="2" fontId="6" numFmtId="0" xfId="0" applyBorder="1" applyFont="1"/>
    <xf borderId="5" fillId="2" fontId="3" numFmtId="0" xfId="0" applyBorder="1" applyFont="1"/>
    <xf borderId="5" fillId="2" fontId="6" numFmtId="165" xfId="0" applyAlignment="1" applyBorder="1" applyFont="1" applyNumberFormat="1">
      <alignment horizontal="right"/>
    </xf>
    <xf borderId="5" fillId="2" fontId="6" numFmtId="167" xfId="0" applyAlignment="1" applyBorder="1" applyFont="1" applyNumberFormat="1">
      <alignment horizontal="right"/>
    </xf>
    <xf borderId="0" fillId="0" fontId="8" numFmtId="0" xfId="0" applyAlignment="1" applyFont="1">
      <alignment horizontal="center" shrinkToFit="0" vertical="center" wrapText="1"/>
    </xf>
    <xf borderId="5" fillId="4" fontId="2" numFmtId="164" xfId="0" applyAlignment="1" applyBorder="1" applyFont="1" applyNumberFormat="1">
      <alignment horizontal="center"/>
    </xf>
    <xf borderId="5" fillId="0" fontId="11" numFmtId="0" xfId="0" applyAlignment="1" applyBorder="1" applyFont="1">
      <alignment horizontal="center" vertical="center"/>
    </xf>
    <xf borderId="5" fillId="4" fontId="2" numFmtId="0" xfId="0" applyAlignment="1" applyBorder="1" applyFont="1">
      <alignment horizontal="right"/>
    </xf>
    <xf borderId="5" fillId="4" fontId="2" numFmtId="170" xfId="0" applyAlignment="1" applyBorder="1" applyFont="1" applyNumberFormat="1">
      <alignment horizontal="right"/>
    </xf>
    <xf borderId="5" fillId="0" fontId="11" numFmtId="166" xfId="0" applyAlignment="1" applyBorder="1" applyFont="1" applyNumberFormat="1">
      <alignment vertical="center"/>
    </xf>
    <xf borderId="5" fillId="0" fontId="11" numFmtId="167" xfId="0" applyAlignment="1" applyBorder="1" applyFont="1" applyNumberFormat="1">
      <alignment vertical="center"/>
    </xf>
    <xf borderId="0" fillId="0" fontId="5" numFmtId="170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5" fillId="4" fontId="5" numFmtId="14" xfId="0" applyAlignment="1" applyBorder="1" applyFont="1" applyNumberFormat="1">
      <alignment horizontal="center" vertical="center"/>
    </xf>
    <xf borderId="5" fillId="4" fontId="5" numFmtId="0" xfId="0" applyAlignment="1" applyBorder="1" applyFont="1">
      <alignment vertical="center"/>
    </xf>
    <xf borderId="5" fillId="4" fontId="10" numFmtId="170" xfId="0" applyAlignment="1" applyBorder="1" applyFont="1" applyNumberFormat="1">
      <alignment vertical="center"/>
    </xf>
    <xf borderId="5" fillId="4" fontId="10" numFmtId="169" xfId="0" applyAlignment="1" applyBorder="1" applyFont="1" applyNumberFormat="1">
      <alignment vertical="center"/>
    </xf>
    <xf borderId="0" fillId="0" fontId="11" numFmtId="167" xfId="0" applyAlignment="1" applyFont="1" applyNumberFormat="1">
      <alignment vertical="center"/>
    </xf>
    <xf borderId="5" fillId="2" fontId="12" numFmtId="0" xfId="0" applyAlignment="1" applyBorder="1" applyFont="1">
      <alignment vertical="center"/>
    </xf>
    <xf borderId="5" fillId="2" fontId="12" numFmtId="165" xfId="0" applyAlignment="1" applyBorder="1" applyFont="1" applyNumberFormat="1">
      <alignment vertical="center"/>
    </xf>
    <xf borderId="5" fillId="2" fontId="12" numFmtId="167" xfId="0" applyAlignment="1" applyBorder="1" applyFont="1" applyNumberFormat="1">
      <alignment vertical="center"/>
    </xf>
    <xf borderId="0" fillId="0" fontId="10" numFmtId="167" xfId="0" applyAlignment="1" applyFont="1" applyNumberFormat="1">
      <alignment vertical="center"/>
    </xf>
    <xf borderId="0" fillId="0" fontId="3" numFmtId="171" xfId="0" applyFont="1" applyNumberFormat="1"/>
    <xf borderId="1" fillId="2" fontId="6" numFmtId="171" xfId="0" applyAlignment="1" applyBorder="1" applyFont="1" applyNumberFormat="1">
      <alignment horizontal="center"/>
    </xf>
    <xf borderId="6" fillId="5" fontId="13" numFmtId="0" xfId="0" applyAlignment="1" applyBorder="1" applyFill="1" applyFont="1">
      <alignment horizontal="center"/>
    </xf>
    <xf borderId="1" fillId="5" fontId="13" numFmtId="0" xfId="0" applyAlignment="1" applyBorder="1" applyFont="1">
      <alignment horizontal="center"/>
    </xf>
    <xf borderId="5" fillId="0" fontId="4" numFmtId="171" xfId="0" applyAlignment="1" applyBorder="1" applyFont="1" applyNumberFormat="1">
      <alignment horizontal="center"/>
    </xf>
    <xf borderId="5" fillId="5" fontId="13" numFmtId="0" xfId="0" applyAlignment="1" applyBorder="1" applyFont="1">
      <alignment horizontal="center"/>
    </xf>
    <xf borderId="5" fillId="5" fontId="4" numFmtId="0" xfId="0" applyAlignment="1" applyBorder="1" applyFont="1">
      <alignment horizontal="center"/>
    </xf>
    <xf borderId="5" fillId="0" fontId="9" numFmtId="171" xfId="0" applyAlignment="1" applyBorder="1" applyFont="1" applyNumberFormat="1">
      <alignment horizontal="center"/>
    </xf>
    <xf borderId="5" fillId="0" fontId="9" numFmtId="165" xfId="0" applyAlignment="1" applyBorder="1" applyFont="1" applyNumberFormat="1">
      <alignment horizontal="center"/>
    </xf>
    <xf borderId="5" fillId="0" fontId="9" numFmtId="170" xfId="0" applyAlignment="1" applyBorder="1" applyFont="1" applyNumberFormat="1">
      <alignment horizontal="center"/>
    </xf>
    <xf borderId="5" fillId="0" fontId="9" numFmtId="166" xfId="0" applyAlignment="1" applyBorder="1" applyFont="1" applyNumberFormat="1">
      <alignment horizontal="center"/>
    </xf>
    <xf borderId="5" fillId="0" fontId="11" numFmtId="167" xfId="0" applyAlignment="1" applyBorder="1" applyFont="1" applyNumberFormat="1">
      <alignment horizontal="center" vertical="center"/>
    </xf>
    <xf borderId="5" fillId="0" fontId="11" numFmtId="165" xfId="0" applyAlignment="1" applyBorder="1" applyFont="1" applyNumberFormat="1">
      <alignment horizontal="center" vertical="center"/>
    </xf>
    <xf borderId="5" fillId="0" fontId="11" numFmtId="170" xfId="0" applyAlignment="1" applyBorder="1" applyFont="1" applyNumberFormat="1">
      <alignment horizontal="center" vertical="center"/>
    </xf>
    <xf borderId="5" fillId="0" fontId="3" numFmtId="171" xfId="0" applyBorder="1" applyFont="1" applyNumberFormat="1"/>
    <xf borderId="5" fillId="0" fontId="3" numFmtId="0" xfId="0" applyBorder="1" applyFont="1"/>
    <xf borderId="5" fillId="0" fontId="3" numFmtId="165" xfId="0" applyBorder="1" applyFont="1" applyNumberFormat="1"/>
    <xf borderId="5" fillId="0" fontId="3" numFmtId="170" xfId="0" applyBorder="1" applyFont="1" applyNumberFormat="1"/>
    <xf borderId="5" fillId="0" fontId="3" numFmtId="166" xfId="0" applyBorder="1" applyFont="1" applyNumberFormat="1"/>
    <xf borderId="0" fillId="0" fontId="10" numFmtId="14" xfId="0" applyAlignment="1" applyFont="1" applyNumberFormat="1">
      <alignment horizontal="right"/>
    </xf>
    <xf borderId="0" fillId="0" fontId="10" numFmtId="171" xfId="0" applyAlignment="1" applyFont="1" applyNumberFormat="1">
      <alignment horizontal="right"/>
    </xf>
    <xf borderId="0" fillId="0" fontId="5" numFmtId="0" xfId="0" applyFont="1"/>
    <xf borderId="0" fillId="0" fontId="10" numFmtId="0" xfId="0" applyFont="1"/>
    <xf borderId="5" fillId="2" fontId="6" numFmtId="171" xfId="0" applyAlignment="1" applyBorder="1" applyFont="1" applyNumberFormat="1">
      <alignment horizontal="center" vertical="bottom"/>
    </xf>
    <xf borderId="5" fillId="2" fontId="6" numFmtId="0" xfId="0" applyAlignment="1" applyBorder="1" applyFont="1">
      <alignment horizontal="center" vertical="bottom"/>
    </xf>
    <xf borderId="5" fillId="0" fontId="10" numFmtId="164" xfId="0" applyAlignment="1" applyBorder="1" applyFont="1" applyNumberFormat="1">
      <alignment horizontal="center"/>
    </xf>
    <xf borderId="5" fillId="0" fontId="10" numFmtId="0" xfId="0" applyAlignment="1" applyBorder="1" applyFont="1">
      <alignment horizontal="center"/>
    </xf>
    <xf borderId="5" fillId="0" fontId="10" numFmtId="172" xfId="0" applyAlignment="1" applyBorder="1" applyFont="1" applyNumberFormat="1">
      <alignment horizontal="center"/>
    </xf>
    <xf borderId="0" fillId="0" fontId="10" numFmtId="173" xfId="0" applyFont="1" applyNumberFormat="1"/>
    <xf borderId="0" fillId="0" fontId="10" numFmtId="171" xfId="0" applyFont="1" applyNumberFormat="1"/>
    <xf borderId="0" fillId="0" fontId="5" numFmtId="171" xfId="0" applyAlignment="1" applyFont="1" applyNumberFormat="1">
      <alignment vertical="center"/>
    </xf>
    <xf borderId="0" fillId="0" fontId="3" numFmtId="0" xfId="0" applyFont="1"/>
    <xf borderId="1" fillId="2" fontId="6" numFmtId="171" xfId="0" applyAlignment="1" applyBorder="1" applyFont="1" applyNumberFormat="1">
      <alignment horizontal="center"/>
    </xf>
    <xf borderId="5" fillId="0" fontId="4" numFmtId="171" xfId="0" applyAlignment="1" applyBorder="1" applyFont="1" applyNumberFormat="1">
      <alignment horizontal="center"/>
    </xf>
    <xf borderId="5" fillId="0" fontId="11" numFmtId="171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right" vertical="center"/>
    </xf>
    <xf borderId="5" fillId="0" fontId="11" numFmtId="167" xfId="0" applyAlignment="1" applyBorder="1" applyFont="1" applyNumberFormat="1">
      <alignment horizontal="right" vertical="center"/>
    </xf>
    <xf borderId="0" fillId="0" fontId="14" numFmtId="0" xfId="0" applyAlignment="1" applyFont="1">
      <alignment vertical="center"/>
    </xf>
    <xf borderId="0" fillId="0" fontId="14" numFmtId="0" xfId="0" applyFont="1"/>
    <xf borderId="0" fillId="0" fontId="14" numFmtId="171" xfId="0" applyAlignment="1" applyFont="1" applyNumberFormat="1">
      <alignment vertical="center"/>
    </xf>
    <xf borderId="5" fillId="5" fontId="4" numFmtId="0" xfId="0" applyAlignment="1" applyBorder="1" applyFont="1">
      <alignment horizontal="center" shrinkToFit="0" wrapText="1"/>
    </xf>
    <xf borderId="5" fillId="0" fontId="11" numFmtId="165" xfId="0" applyAlignment="1" applyBorder="1" applyFont="1" applyNumberFormat="1">
      <alignment horizontal="right" vertical="center"/>
    </xf>
    <xf borderId="5" fillId="0" fontId="11" numFmtId="169" xfId="0" applyAlignment="1" applyBorder="1" applyFont="1" applyNumberFormat="1">
      <alignment vertical="center"/>
    </xf>
    <xf borderId="0" fillId="0" fontId="15" numFmtId="171" xfId="0" applyFont="1" applyNumberFormat="1"/>
    <xf borderId="1" fillId="5" fontId="4" numFmtId="0" xfId="0" applyAlignment="1" applyBorder="1" applyFont="1">
      <alignment horizontal="center"/>
    </xf>
    <xf borderId="1" fillId="0" fontId="11" numFmtId="167" xfId="0" applyAlignment="1" applyBorder="1" applyFont="1" applyNumberFormat="1">
      <alignment horizontal="center" vertical="center"/>
    </xf>
    <xf borderId="0" fillId="0" fontId="14" numFmtId="0" xfId="0" applyAlignment="1" applyFont="1">
      <alignment readingOrder="0" vertical="center"/>
    </xf>
    <xf borderId="0" fillId="0" fontId="1" numFmtId="17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6" width="12.63"/>
  </cols>
  <sheetData>
    <row r="1" ht="15.75" customHeight="1">
      <c r="A1" s="1"/>
      <c r="B1" s="1"/>
      <c r="C1" s="1"/>
      <c r="D1" s="1"/>
      <c r="E1" s="1"/>
      <c r="F1" s="1"/>
    </row>
    <row r="2" ht="15.75" customHeight="1">
      <c r="A2" s="1"/>
      <c r="B2" s="2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75" customHeight="1">
      <c r="A3" s="1"/>
      <c r="B3" s="4" t="s">
        <v>1</v>
      </c>
    </row>
    <row r="4" ht="15.75" customHeight="1">
      <c r="A4" s="1"/>
    </row>
    <row r="5" ht="15.75" customHeight="1">
      <c r="A5" s="1"/>
      <c r="B5" s="4" t="s">
        <v>2</v>
      </c>
    </row>
    <row r="6" ht="15.75" customHeight="1">
      <c r="A6" s="1"/>
    </row>
    <row r="7" ht="15.75" customHeight="1">
      <c r="A7" s="1"/>
      <c r="B7" s="4" t="s">
        <v>3</v>
      </c>
    </row>
    <row r="8" ht="15.75" customHeight="1">
      <c r="A8" s="1"/>
      <c r="B8" s="2" t="s">
        <v>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ht="15.75" customHeight="1">
      <c r="A9" s="1"/>
      <c r="B9" s="2" t="s"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ht="15.75" customHeight="1">
      <c r="A10" s="1"/>
      <c r="B10" s="2" t="s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ht="15.75" customHeight="1">
      <c r="A11" s="1"/>
      <c r="B11" s="2" t="s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ht="15.75" customHeight="1">
      <c r="A12" s="1"/>
      <c r="B12" s="2" t="s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ht="15.75" customHeight="1">
      <c r="A13" s="1"/>
      <c r="B13" s="2" t="s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ht="15.75" customHeight="1">
      <c r="A14" s="1"/>
      <c r="B14" s="5" t="s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ht="15.75" customHeight="1">
      <c r="A15" s="1"/>
      <c r="B15" s="5" t="s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ht="15.75" customHeight="1">
      <c r="A16" s="1"/>
      <c r="B16" s="6" t="s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ht="15.75" customHeight="1">
      <c r="A17" s="1"/>
      <c r="B17" s="2" t="s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ht="15.75" customHeight="1">
      <c r="A18" s="1"/>
      <c r="B18" s="6" t="s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ht="15.75" customHeight="1">
      <c r="A19" s="1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ht="15.75" customHeight="1">
      <c r="A20" s="1"/>
      <c r="B20" s="1"/>
      <c r="C20" s="1"/>
      <c r="D20" s="1"/>
      <c r="E20" s="1"/>
      <c r="F20" s="1"/>
    </row>
    <row r="21" ht="15.75" customHeight="1">
      <c r="A21" s="1"/>
      <c r="B21" s="1"/>
      <c r="C21" s="1"/>
      <c r="D21" s="1"/>
      <c r="E21" s="1"/>
      <c r="F21" s="1"/>
    </row>
    <row r="22" ht="15.75" customHeight="1">
      <c r="A22" s="1"/>
      <c r="B22" s="1"/>
      <c r="C22" s="1"/>
      <c r="D22" s="1"/>
      <c r="E22" s="1"/>
      <c r="F22" s="1"/>
    </row>
    <row r="23" ht="15.75" customHeight="1">
      <c r="A23" s="1"/>
      <c r="B23" s="1"/>
      <c r="C23" s="1"/>
      <c r="D23" s="1"/>
      <c r="E23" s="1"/>
      <c r="F23" s="1"/>
    </row>
    <row r="24" ht="15.75" customHeight="1">
      <c r="A24" s="1"/>
      <c r="B24" s="1"/>
      <c r="C24" s="1"/>
      <c r="D24" s="1"/>
      <c r="E24" s="1"/>
      <c r="F24" s="1"/>
    </row>
    <row r="25" ht="15.75" customHeight="1">
      <c r="A25" s="1"/>
      <c r="B25" s="1"/>
      <c r="C25" s="1"/>
      <c r="D25" s="1"/>
      <c r="E25" s="1"/>
      <c r="F25" s="1"/>
    </row>
    <row r="26" ht="15.75" customHeight="1">
      <c r="A26" s="1"/>
      <c r="B26" s="1"/>
      <c r="C26" s="1"/>
      <c r="D26" s="1"/>
      <c r="E26" s="1"/>
      <c r="F26" s="1"/>
    </row>
    <row r="27" ht="15.75" customHeight="1">
      <c r="A27" s="1"/>
      <c r="B27" s="1"/>
      <c r="C27" s="1"/>
      <c r="D27" s="1"/>
      <c r="E27" s="1"/>
      <c r="F27" s="1"/>
    </row>
    <row r="28" ht="15.75" customHeight="1">
      <c r="A28" s="1"/>
      <c r="B28" s="1"/>
      <c r="C28" s="1"/>
      <c r="D28" s="1"/>
      <c r="E28" s="1"/>
      <c r="F28" s="1"/>
    </row>
    <row r="29" ht="15.75" customHeight="1">
      <c r="A29" s="1"/>
      <c r="B29" s="1"/>
      <c r="C29" s="1"/>
      <c r="D29" s="1"/>
      <c r="E29" s="1"/>
      <c r="F29" s="1"/>
    </row>
    <row r="30" ht="15.75" customHeight="1">
      <c r="A30" s="1"/>
      <c r="B30" s="1"/>
      <c r="C30" s="1"/>
      <c r="D30" s="1"/>
      <c r="E30" s="1"/>
      <c r="F30" s="1"/>
    </row>
    <row r="31" ht="15.75" customHeight="1">
      <c r="A31" s="1"/>
      <c r="B31" s="1"/>
      <c r="C31" s="1"/>
      <c r="D31" s="1"/>
      <c r="E31" s="1"/>
      <c r="F31" s="1"/>
    </row>
    <row r="32" ht="15.75" customHeight="1">
      <c r="A32" s="1"/>
      <c r="B32" s="1"/>
      <c r="C32" s="1"/>
      <c r="D32" s="1"/>
      <c r="E32" s="1"/>
      <c r="F32" s="1"/>
    </row>
    <row r="33" ht="15.75" customHeight="1">
      <c r="A33" s="1"/>
      <c r="B33" s="1"/>
      <c r="C33" s="1"/>
      <c r="D33" s="1"/>
      <c r="E33" s="1"/>
      <c r="F33" s="1"/>
    </row>
    <row r="34" ht="15.75" customHeight="1">
      <c r="A34" s="1"/>
      <c r="B34" s="1"/>
      <c r="C34" s="1"/>
      <c r="D34" s="1"/>
      <c r="E34" s="1"/>
      <c r="F34" s="1"/>
    </row>
    <row r="35" ht="15.75" customHeight="1">
      <c r="A35" s="1"/>
      <c r="B35" s="1"/>
      <c r="C35" s="1"/>
      <c r="D35" s="1"/>
      <c r="E35" s="1"/>
      <c r="F35" s="1"/>
    </row>
    <row r="36" ht="15.75" customHeight="1">
      <c r="A36" s="1"/>
      <c r="B36" s="1"/>
      <c r="C36" s="1"/>
      <c r="D36" s="1"/>
      <c r="E36" s="1"/>
      <c r="F36" s="1"/>
    </row>
    <row r="37" ht="15.75" customHeight="1">
      <c r="A37" s="1"/>
      <c r="B37" s="1"/>
      <c r="C37" s="1"/>
      <c r="D37" s="1"/>
      <c r="E37" s="1"/>
      <c r="F37" s="1"/>
    </row>
    <row r="38" ht="15.75" customHeight="1">
      <c r="A38" s="1"/>
      <c r="B38" s="1"/>
      <c r="C38" s="1"/>
      <c r="D38" s="1"/>
      <c r="E38" s="1"/>
      <c r="F38" s="1"/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1"/>
      <c r="B222" s="1"/>
      <c r="C222" s="1"/>
      <c r="D222" s="1"/>
      <c r="E222" s="1"/>
      <c r="F222" s="1"/>
    </row>
    <row r="223" ht="15.75" customHeight="1">
      <c r="A223" s="1"/>
      <c r="B223" s="1"/>
      <c r="C223" s="1"/>
      <c r="D223" s="1"/>
      <c r="E223" s="1"/>
      <c r="F223" s="1"/>
    </row>
    <row r="224" ht="15.75" customHeight="1">
      <c r="A224" s="1"/>
      <c r="B224" s="1"/>
      <c r="C224" s="1"/>
      <c r="D224" s="1"/>
      <c r="E224" s="1"/>
      <c r="F224" s="1"/>
    </row>
    <row r="225" ht="15.75" customHeight="1">
      <c r="A225" s="1"/>
      <c r="B225" s="1"/>
      <c r="C225" s="1"/>
      <c r="D225" s="1"/>
      <c r="E225" s="1"/>
      <c r="F225" s="1"/>
    </row>
    <row r="226" ht="15.75" customHeight="1">
      <c r="A226" s="1"/>
      <c r="B226" s="1"/>
      <c r="C226" s="1"/>
      <c r="D226" s="1"/>
      <c r="E226" s="1"/>
      <c r="F226" s="1"/>
    </row>
    <row r="227" ht="15.75" customHeight="1">
      <c r="A227" s="1"/>
      <c r="B227" s="1"/>
      <c r="C227" s="1"/>
      <c r="D227" s="1"/>
      <c r="E227" s="1"/>
      <c r="F227" s="1"/>
    </row>
    <row r="228" ht="15.75" customHeight="1">
      <c r="A228" s="1"/>
      <c r="B228" s="1"/>
      <c r="C228" s="1"/>
      <c r="D228" s="1"/>
      <c r="E228" s="1"/>
      <c r="F228" s="1"/>
    </row>
    <row r="229" ht="15.75" customHeight="1">
      <c r="A229" s="1"/>
      <c r="B229" s="1"/>
      <c r="C229" s="1"/>
      <c r="D229" s="1"/>
      <c r="E229" s="1"/>
      <c r="F229" s="1"/>
    </row>
    <row r="230" ht="15.75" customHeight="1">
      <c r="A230" s="1"/>
      <c r="B230" s="1"/>
      <c r="C230" s="1"/>
      <c r="D230" s="1"/>
      <c r="E230" s="1"/>
      <c r="F230" s="1"/>
    </row>
    <row r="231" ht="15.75" customHeight="1">
      <c r="A231" s="1"/>
      <c r="B231" s="1"/>
      <c r="C231" s="1"/>
      <c r="D231" s="1"/>
      <c r="E231" s="1"/>
      <c r="F231" s="1"/>
    </row>
    <row r="232" ht="15.75" customHeight="1">
      <c r="A232" s="1"/>
      <c r="B232" s="1"/>
      <c r="C232" s="1"/>
      <c r="D232" s="1"/>
      <c r="E232" s="1"/>
      <c r="F232" s="1"/>
    </row>
    <row r="233" ht="15.75" customHeight="1">
      <c r="A233" s="1"/>
      <c r="B233" s="1"/>
      <c r="C233" s="1"/>
      <c r="D233" s="1"/>
      <c r="E233" s="1"/>
      <c r="F233" s="1"/>
    </row>
    <row r="234" ht="15.75" customHeight="1">
      <c r="A234" s="1"/>
      <c r="B234" s="1"/>
      <c r="C234" s="1"/>
      <c r="D234" s="1"/>
      <c r="E234" s="1"/>
      <c r="F234" s="1"/>
    </row>
    <row r="235" ht="15.75" customHeight="1">
      <c r="A235" s="1"/>
      <c r="B235" s="1"/>
      <c r="C235" s="1"/>
      <c r="D235" s="1"/>
      <c r="E235" s="1"/>
      <c r="F235" s="1"/>
    </row>
    <row r="236" ht="15.75" customHeight="1">
      <c r="A236" s="1"/>
      <c r="B236" s="1"/>
      <c r="C236" s="1"/>
      <c r="D236" s="1"/>
      <c r="E236" s="1"/>
      <c r="F236" s="1"/>
    </row>
    <row r="237" ht="15.75" customHeight="1">
      <c r="A237" s="1"/>
      <c r="B237" s="1"/>
      <c r="C237" s="1"/>
      <c r="D237" s="1"/>
      <c r="E237" s="1"/>
      <c r="F237" s="1"/>
    </row>
    <row r="238" ht="15.75" customHeight="1">
      <c r="A238" s="1"/>
      <c r="B238" s="1"/>
      <c r="C238" s="1"/>
      <c r="D238" s="1"/>
      <c r="E238" s="1"/>
      <c r="F238" s="1"/>
    </row>
    <row r="239" ht="15.75" customHeight="1">
      <c r="A239" s="1"/>
      <c r="B239" s="1"/>
      <c r="C239" s="1"/>
      <c r="D239" s="1"/>
      <c r="E239" s="1"/>
      <c r="F239" s="1"/>
    </row>
    <row r="240" ht="15.75" customHeight="1">
      <c r="A240" s="1"/>
      <c r="B240" s="1"/>
      <c r="C240" s="1"/>
      <c r="D240" s="1"/>
      <c r="E240" s="1"/>
      <c r="F240" s="1"/>
    </row>
    <row r="241" ht="15.75" customHeight="1">
      <c r="A241" s="1"/>
      <c r="B241" s="1"/>
      <c r="C241" s="1"/>
      <c r="D241" s="1"/>
      <c r="E241" s="1"/>
      <c r="F241" s="1"/>
    </row>
    <row r="242" ht="15.75" customHeight="1">
      <c r="A242" s="1"/>
      <c r="B242" s="1"/>
      <c r="C242" s="1"/>
      <c r="D242" s="1"/>
      <c r="E242" s="1"/>
      <c r="F242" s="1"/>
    </row>
    <row r="243" ht="15.75" customHeight="1">
      <c r="A243" s="1"/>
      <c r="B243" s="1"/>
      <c r="C243" s="1"/>
      <c r="D243" s="1"/>
      <c r="E243" s="1"/>
      <c r="F243" s="1"/>
    </row>
    <row r="244" ht="15.75" customHeight="1">
      <c r="A244" s="1"/>
      <c r="B244" s="1"/>
      <c r="C244" s="1"/>
      <c r="D244" s="1"/>
      <c r="E244" s="1"/>
      <c r="F244" s="1"/>
    </row>
    <row r="245" ht="15.75" customHeight="1">
      <c r="A245" s="1"/>
      <c r="B245" s="1"/>
      <c r="C245" s="1"/>
      <c r="D245" s="1"/>
      <c r="E245" s="1"/>
      <c r="F245" s="1"/>
    </row>
    <row r="246" ht="15.75" customHeight="1">
      <c r="A246" s="1"/>
      <c r="B246" s="1"/>
      <c r="C246" s="1"/>
      <c r="D246" s="1"/>
      <c r="E246" s="1"/>
      <c r="F246" s="1"/>
    </row>
    <row r="247" ht="15.75" customHeight="1">
      <c r="A247" s="1"/>
      <c r="B247" s="1"/>
      <c r="C247" s="1"/>
      <c r="D247" s="1"/>
      <c r="E247" s="1"/>
      <c r="F247" s="1"/>
    </row>
    <row r="248" ht="15.75" customHeight="1">
      <c r="A248" s="1"/>
      <c r="B248" s="1"/>
      <c r="C248" s="1"/>
      <c r="D248" s="1"/>
      <c r="E248" s="1"/>
      <c r="F248" s="1"/>
    </row>
    <row r="249" ht="15.75" customHeight="1">
      <c r="A249" s="1"/>
      <c r="B249" s="1"/>
      <c r="C249" s="1"/>
      <c r="D249" s="1"/>
      <c r="E249" s="1"/>
      <c r="F249" s="1"/>
    </row>
    <row r="250" ht="15.75" customHeight="1">
      <c r="A250" s="1"/>
      <c r="B250" s="1"/>
      <c r="C250" s="1"/>
      <c r="D250" s="1"/>
      <c r="E250" s="1"/>
      <c r="F250" s="1"/>
    </row>
    <row r="251" ht="15.75" customHeight="1">
      <c r="A251" s="1"/>
      <c r="B251" s="1"/>
      <c r="C251" s="1"/>
      <c r="D251" s="1"/>
      <c r="E251" s="1"/>
      <c r="F251" s="1"/>
    </row>
    <row r="252" ht="15.75" customHeight="1">
      <c r="A252" s="1"/>
      <c r="B252" s="1"/>
      <c r="C252" s="1"/>
      <c r="D252" s="1"/>
      <c r="E252" s="1"/>
      <c r="F252" s="1"/>
    </row>
    <row r="253" ht="15.75" customHeight="1">
      <c r="A253" s="1"/>
      <c r="B253" s="1"/>
      <c r="C253" s="1"/>
      <c r="D253" s="1"/>
      <c r="E253" s="1"/>
      <c r="F253" s="1"/>
    </row>
    <row r="254" ht="15.75" customHeight="1">
      <c r="A254" s="1"/>
      <c r="B254" s="1"/>
      <c r="C254" s="1"/>
      <c r="D254" s="1"/>
      <c r="E254" s="1"/>
      <c r="F254" s="1"/>
    </row>
    <row r="255" ht="15.75" customHeight="1">
      <c r="A255" s="1"/>
      <c r="B255" s="1"/>
      <c r="C255" s="1"/>
      <c r="D255" s="1"/>
      <c r="E255" s="1"/>
      <c r="F255" s="1"/>
    </row>
    <row r="256" ht="15.75" customHeight="1">
      <c r="A256" s="1"/>
      <c r="B256" s="1"/>
      <c r="C256" s="1"/>
      <c r="D256" s="1"/>
      <c r="E256" s="1"/>
      <c r="F256" s="1"/>
    </row>
    <row r="257" ht="15.75" customHeight="1">
      <c r="A257" s="1"/>
      <c r="B257" s="1"/>
      <c r="C257" s="1"/>
      <c r="D257" s="1"/>
      <c r="E257" s="1"/>
      <c r="F257" s="1"/>
    </row>
    <row r="258" ht="15.75" customHeight="1">
      <c r="A258" s="1"/>
      <c r="B258" s="1"/>
      <c r="C258" s="1"/>
      <c r="D258" s="1"/>
      <c r="E258" s="1"/>
      <c r="F258" s="1"/>
    </row>
    <row r="259" ht="15.75" customHeight="1">
      <c r="A259" s="1"/>
      <c r="B259" s="1"/>
      <c r="C259" s="1"/>
      <c r="D259" s="1"/>
      <c r="E259" s="1"/>
      <c r="F259" s="1"/>
    </row>
    <row r="260" ht="15.75" customHeight="1">
      <c r="A260" s="1"/>
      <c r="B260" s="1"/>
      <c r="C260" s="1"/>
      <c r="D260" s="1"/>
      <c r="E260" s="1"/>
      <c r="F260" s="1"/>
    </row>
    <row r="261" ht="15.75" customHeight="1">
      <c r="A261" s="1"/>
      <c r="B261" s="1"/>
      <c r="C261" s="1"/>
      <c r="D261" s="1"/>
      <c r="E261" s="1"/>
      <c r="F261" s="1"/>
    </row>
    <row r="262" ht="15.75" customHeight="1">
      <c r="A262" s="1"/>
      <c r="B262" s="1"/>
      <c r="C262" s="1"/>
      <c r="D262" s="1"/>
      <c r="E262" s="1"/>
      <c r="F262" s="1"/>
    </row>
    <row r="263" ht="15.75" customHeight="1">
      <c r="A263" s="1"/>
      <c r="B263" s="1"/>
      <c r="C263" s="1"/>
      <c r="D263" s="1"/>
      <c r="E263" s="1"/>
      <c r="F263" s="1"/>
    </row>
    <row r="264" ht="15.75" customHeight="1">
      <c r="A264" s="1"/>
      <c r="B264" s="1"/>
      <c r="C264" s="1"/>
      <c r="D264" s="1"/>
      <c r="E264" s="1"/>
      <c r="F264" s="1"/>
    </row>
    <row r="265" ht="15.75" customHeight="1">
      <c r="A265" s="1"/>
      <c r="B265" s="1"/>
      <c r="C265" s="1"/>
      <c r="D265" s="1"/>
      <c r="E265" s="1"/>
      <c r="F265" s="1"/>
    </row>
    <row r="266" ht="15.75" customHeight="1">
      <c r="A266" s="1"/>
      <c r="B266" s="1"/>
      <c r="C266" s="1"/>
      <c r="D266" s="1"/>
      <c r="E266" s="1"/>
      <c r="F266" s="1"/>
    </row>
    <row r="267" ht="15.75" customHeight="1">
      <c r="A267" s="1"/>
      <c r="B267" s="1"/>
      <c r="C267" s="1"/>
      <c r="D267" s="1"/>
      <c r="E267" s="1"/>
      <c r="F267" s="1"/>
    </row>
    <row r="268" ht="15.75" customHeight="1">
      <c r="A268" s="1"/>
      <c r="B268" s="1"/>
      <c r="C268" s="1"/>
      <c r="D268" s="1"/>
      <c r="E268" s="1"/>
      <c r="F268" s="1"/>
    </row>
    <row r="269" ht="15.75" customHeight="1">
      <c r="A269" s="1"/>
      <c r="B269" s="1"/>
      <c r="C269" s="1"/>
      <c r="D269" s="1"/>
      <c r="E269" s="1"/>
      <c r="F269" s="1"/>
    </row>
    <row r="270" ht="15.75" customHeight="1">
      <c r="A270" s="1"/>
      <c r="B270" s="1"/>
      <c r="C270" s="1"/>
      <c r="D270" s="1"/>
      <c r="E270" s="1"/>
      <c r="F270" s="1"/>
    </row>
    <row r="271" ht="15.75" customHeight="1">
      <c r="A271" s="1"/>
      <c r="B271" s="1"/>
      <c r="C271" s="1"/>
      <c r="D271" s="1"/>
      <c r="E271" s="1"/>
      <c r="F271" s="1"/>
    </row>
    <row r="272" ht="15.75" customHeight="1">
      <c r="A272" s="1"/>
      <c r="B272" s="1"/>
      <c r="C272" s="1"/>
      <c r="D272" s="1"/>
      <c r="E272" s="1"/>
      <c r="F272" s="1"/>
    </row>
    <row r="273" ht="15.75" customHeight="1">
      <c r="A273" s="1"/>
      <c r="B273" s="1"/>
      <c r="C273" s="1"/>
      <c r="D273" s="1"/>
      <c r="E273" s="1"/>
      <c r="F273" s="1"/>
    </row>
    <row r="274" ht="15.75" customHeight="1">
      <c r="A274" s="1"/>
      <c r="B274" s="1"/>
      <c r="C274" s="1"/>
      <c r="D274" s="1"/>
      <c r="E274" s="1"/>
      <c r="F274" s="1"/>
    </row>
    <row r="275" ht="15.75" customHeight="1">
      <c r="A275" s="1"/>
      <c r="B275" s="1"/>
      <c r="C275" s="1"/>
      <c r="D275" s="1"/>
      <c r="E275" s="1"/>
      <c r="F275" s="1"/>
    </row>
    <row r="276" ht="15.75" customHeight="1">
      <c r="A276" s="1"/>
      <c r="B276" s="1"/>
      <c r="C276" s="1"/>
      <c r="D276" s="1"/>
      <c r="E276" s="1"/>
      <c r="F276" s="1"/>
    </row>
    <row r="277" ht="15.75" customHeight="1">
      <c r="A277" s="1"/>
      <c r="B277" s="1"/>
      <c r="C277" s="1"/>
      <c r="D277" s="1"/>
      <c r="E277" s="1"/>
      <c r="F277" s="1"/>
    </row>
    <row r="278" ht="15.75" customHeight="1">
      <c r="A278" s="1"/>
      <c r="B278" s="1"/>
      <c r="C278" s="1"/>
      <c r="D278" s="1"/>
      <c r="E278" s="1"/>
      <c r="F278" s="1"/>
    </row>
    <row r="279" ht="15.75" customHeight="1">
      <c r="A279" s="1"/>
      <c r="B279" s="1"/>
      <c r="C279" s="1"/>
      <c r="D279" s="1"/>
      <c r="E279" s="1"/>
      <c r="F279" s="1"/>
    </row>
    <row r="280" ht="15.75" customHeight="1">
      <c r="A280" s="1"/>
      <c r="B280" s="1"/>
      <c r="C280" s="1"/>
      <c r="D280" s="1"/>
      <c r="E280" s="1"/>
      <c r="F280" s="1"/>
    </row>
    <row r="281" ht="15.75" customHeight="1">
      <c r="A281" s="1"/>
      <c r="B281" s="1"/>
      <c r="C281" s="1"/>
      <c r="D281" s="1"/>
      <c r="E281" s="1"/>
      <c r="F281" s="1"/>
    </row>
    <row r="282" ht="15.75" customHeight="1">
      <c r="A282" s="1"/>
      <c r="B282" s="1"/>
      <c r="C282" s="1"/>
      <c r="D282" s="1"/>
      <c r="E282" s="1"/>
      <c r="F282" s="1"/>
    </row>
    <row r="283" ht="15.75" customHeight="1">
      <c r="A283" s="1"/>
      <c r="B283" s="1"/>
      <c r="C283" s="1"/>
      <c r="D283" s="1"/>
      <c r="E283" s="1"/>
      <c r="F283" s="1"/>
    </row>
    <row r="284" ht="15.75" customHeight="1">
      <c r="A284" s="1"/>
      <c r="B284" s="1"/>
      <c r="C284" s="1"/>
      <c r="D284" s="1"/>
      <c r="E284" s="1"/>
      <c r="F284" s="1"/>
    </row>
    <row r="285" ht="15.75" customHeight="1">
      <c r="A285" s="1"/>
      <c r="B285" s="1"/>
      <c r="C285" s="1"/>
      <c r="D285" s="1"/>
      <c r="E285" s="1"/>
      <c r="F285" s="1"/>
    </row>
    <row r="286" ht="15.75" customHeight="1">
      <c r="A286" s="1"/>
      <c r="B286" s="1"/>
      <c r="C286" s="1"/>
      <c r="D286" s="1"/>
      <c r="E286" s="1"/>
      <c r="F286" s="1"/>
    </row>
    <row r="287" ht="15.75" customHeight="1">
      <c r="A287" s="1"/>
      <c r="B287" s="1"/>
      <c r="C287" s="1"/>
      <c r="D287" s="1"/>
      <c r="E287" s="1"/>
      <c r="F287" s="1"/>
    </row>
    <row r="288" ht="15.75" customHeight="1">
      <c r="A288" s="1"/>
      <c r="B288" s="1"/>
      <c r="C288" s="1"/>
      <c r="D288" s="1"/>
      <c r="E288" s="1"/>
      <c r="F288" s="1"/>
    </row>
    <row r="289" ht="15.75" customHeight="1">
      <c r="A289" s="1"/>
      <c r="B289" s="1"/>
      <c r="C289" s="1"/>
      <c r="D289" s="1"/>
      <c r="E289" s="1"/>
      <c r="F289" s="1"/>
    </row>
    <row r="290" ht="15.75" customHeight="1">
      <c r="A290" s="1"/>
      <c r="B290" s="1"/>
      <c r="C290" s="1"/>
      <c r="D290" s="1"/>
      <c r="E290" s="1"/>
      <c r="F290" s="1"/>
    </row>
    <row r="291" ht="15.75" customHeight="1">
      <c r="A291" s="1"/>
      <c r="B291" s="1"/>
      <c r="C291" s="1"/>
      <c r="D291" s="1"/>
      <c r="E291" s="1"/>
      <c r="F291" s="1"/>
    </row>
    <row r="292" ht="15.75" customHeight="1">
      <c r="A292" s="1"/>
      <c r="B292" s="1"/>
      <c r="C292" s="1"/>
      <c r="D292" s="1"/>
      <c r="E292" s="1"/>
      <c r="F292" s="1"/>
    </row>
    <row r="293" ht="15.75" customHeight="1">
      <c r="A293" s="1"/>
      <c r="B293" s="1"/>
      <c r="C293" s="1"/>
      <c r="D293" s="1"/>
      <c r="E293" s="1"/>
      <c r="F293" s="1"/>
    </row>
    <row r="294" ht="15.75" customHeight="1">
      <c r="A294" s="1"/>
      <c r="B294" s="1"/>
      <c r="C294" s="1"/>
      <c r="D294" s="1"/>
      <c r="E294" s="1"/>
      <c r="F294" s="1"/>
    </row>
    <row r="295" ht="15.75" customHeight="1">
      <c r="A295" s="1"/>
      <c r="B295" s="1"/>
      <c r="C295" s="1"/>
      <c r="D295" s="1"/>
      <c r="E295" s="1"/>
      <c r="F295" s="1"/>
    </row>
    <row r="296" ht="15.75" customHeight="1">
      <c r="A296" s="1"/>
      <c r="B296" s="1"/>
      <c r="C296" s="1"/>
      <c r="D296" s="1"/>
      <c r="E296" s="1"/>
      <c r="F296" s="1"/>
    </row>
    <row r="297" ht="15.75" customHeight="1">
      <c r="A297" s="1"/>
      <c r="B297" s="1"/>
      <c r="C297" s="1"/>
      <c r="D297" s="1"/>
      <c r="E297" s="1"/>
      <c r="F297" s="1"/>
    </row>
    <row r="298" ht="15.75" customHeight="1">
      <c r="A298" s="1"/>
      <c r="B298" s="1"/>
      <c r="C298" s="1"/>
      <c r="D298" s="1"/>
      <c r="E298" s="1"/>
      <c r="F298" s="1"/>
    </row>
    <row r="299" ht="15.75" customHeight="1">
      <c r="A299" s="1"/>
      <c r="B299" s="1"/>
      <c r="C299" s="1"/>
      <c r="D299" s="1"/>
      <c r="E299" s="1"/>
      <c r="F299" s="1"/>
    </row>
    <row r="300" ht="15.75" customHeight="1">
      <c r="A300" s="1"/>
      <c r="B300" s="1"/>
      <c r="C300" s="1"/>
      <c r="D300" s="1"/>
      <c r="E300" s="1"/>
      <c r="F300" s="1"/>
    </row>
    <row r="301" ht="15.75" customHeight="1">
      <c r="A301" s="1"/>
      <c r="B301" s="1"/>
      <c r="C301" s="1"/>
      <c r="D301" s="1"/>
      <c r="E301" s="1"/>
      <c r="F301" s="1"/>
    </row>
    <row r="302" ht="15.75" customHeight="1">
      <c r="A302" s="1"/>
      <c r="B302" s="1"/>
      <c r="C302" s="1"/>
      <c r="D302" s="1"/>
      <c r="E302" s="1"/>
      <c r="F302" s="1"/>
    </row>
    <row r="303" ht="15.75" customHeight="1">
      <c r="A303" s="1"/>
      <c r="B303" s="1"/>
      <c r="C303" s="1"/>
      <c r="D303" s="1"/>
      <c r="E303" s="1"/>
      <c r="F303" s="1"/>
    </row>
    <row r="304" ht="15.75" customHeight="1">
      <c r="A304" s="1"/>
      <c r="B304" s="1"/>
      <c r="C304" s="1"/>
      <c r="D304" s="1"/>
      <c r="E304" s="1"/>
      <c r="F304" s="1"/>
    </row>
    <row r="305" ht="15.75" customHeight="1">
      <c r="A305" s="1"/>
      <c r="B305" s="1"/>
      <c r="C305" s="1"/>
      <c r="D305" s="1"/>
      <c r="E305" s="1"/>
      <c r="F305" s="1"/>
    </row>
    <row r="306" ht="15.75" customHeight="1">
      <c r="A306" s="1"/>
      <c r="B306" s="1"/>
      <c r="C306" s="1"/>
      <c r="D306" s="1"/>
      <c r="E306" s="1"/>
      <c r="F306" s="1"/>
    </row>
    <row r="307" ht="15.75" customHeight="1">
      <c r="A307" s="1"/>
      <c r="B307" s="1"/>
      <c r="C307" s="1"/>
      <c r="D307" s="1"/>
      <c r="E307" s="1"/>
      <c r="F307" s="1"/>
    </row>
    <row r="308" ht="15.75" customHeight="1">
      <c r="A308" s="1"/>
      <c r="B308" s="1"/>
      <c r="C308" s="1"/>
      <c r="D308" s="1"/>
      <c r="E308" s="1"/>
      <c r="F308" s="1"/>
    </row>
    <row r="309" ht="15.75" customHeight="1">
      <c r="A309" s="1"/>
      <c r="B309" s="1"/>
      <c r="C309" s="1"/>
      <c r="D309" s="1"/>
      <c r="E309" s="1"/>
      <c r="F309" s="1"/>
    </row>
    <row r="310" ht="15.75" customHeight="1">
      <c r="A310" s="1"/>
      <c r="B310" s="1"/>
      <c r="C310" s="1"/>
      <c r="D310" s="1"/>
      <c r="E310" s="1"/>
      <c r="F310" s="1"/>
    </row>
    <row r="311" ht="15.75" customHeight="1">
      <c r="A311" s="1"/>
      <c r="B311" s="1"/>
      <c r="C311" s="1"/>
      <c r="D311" s="1"/>
      <c r="E311" s="1"/>
      <c r="F311" s="1"/>
    </row>
    <row r="312" ht="15.75" customHeight="1">
      <c r="A312" s="1"/>
      <c r="B312" s="1"/>
      <c r="C312" s="1"/>
      <c r="D312" s="1"/>
      <c r="E312" s="1"/>
      <c r="F312" s="1"/>
    </row>
    <row r="313" ht="15.75" customHeight="1">
      <c r="A313" s="1"/>
      <c r="B313" s="1"/>
      <c r="C313" s="1"/>
      <c r="D313" s="1"/>
      <c r="E313" s="1"/>
      <c r="F313" s="1"/>
    </row>
    <row r="314" ht="15.75" customHeight="1">
      <c r="A314" s="1"/>
      <c r="B314" s="1"/>
      <c r="C314" s="1"/>
      <c r="D314" s="1"/>
      <c r="E314" s="1"/>
      <c r="F314" s="1"/>
    </row>
    <row r="315" ht="15.75" customHeight="1">
      <c r="A315" s="1"/>
      <c r="B315" s="1"/>
      <c r="C315" s="1"/>
      <c r="D315" s="1"/>
      <c r="E315" s="1"/>
      <c r="F315" s="1"/>
    </row>
    <row r="316" ht="15.75" customHeight="1">
      <c r="A316" s="1"/>
      <c r="B316" s="1"/>
      <c r="C316" s="1"/>
      <c r="D316" s="1"/>
      <c r="E316" s="1"/>
      <c r="F316" s="1"/>
    </row>
    <row r="317" ht="15.75" customHeight="1">
      <c r="A317" s="1"/>
      <c r="B317" s="1"/>
      <c r="C317" s="1"/>
      <c r="D317" s="1"/>
      <c r="E317" s="1"/>
      <c r="F317" s="1"/>
    </row>
    <row r="318" ht="15.75" customHeight="1">
      <c r="A318" s="1"/>
      <c r="B318" s="1"/>
      <c r="C318" s="1"/>
      <c r="D318" s="1"/>
      <c r="E318" s="1"/>
      <c r="F318" s="1"/>
    </row>
    <row r="319" ht="15.75" customHeight="1">
      <c r="A319" s="1"/>
      <c r="B319" s="1"/>
      <c r="C319" s="1"/>
      <c r="D319" s="1"/>
      <c r="E319" s="1"/>
      <c r="F319" s="1"/>
    </row>
    <row r="320" ht="15.75" customHeight="1">
      <c r="A320" s="1"/>
      <c r="B320" s="1"/>
      <c r="C320" s="1"/>
      <c r="D320" s="1"/>
      <c r="E320" s="1"/>
      <c r="F320" s="1"/>
    </row>
    <row r="321" ht="15.75" customHeight="1">
      <c r="A321" s="1"/>
      <c r="B321" s="1"/>
      <c r="C321" s="1"/>
      <c r="D321" s="1"/>
      <c r="E321" s="1"/>
      <c r="F321" s="1"/>
    </row>
    <row r="322" ht="15.75" customHeight="1">
      <c r="A322" s="1"/>
      <c r="B322" s="1"/>
      <c r="C322" s="1"/>
      <c r="D322" s="1"/>
      <c r="E322" s="1"/>
      <c r="F322" s="1"/>
    </row>
    <row r="323" ht="15.75" customHeight="1">
      <c r="A323" s="1"/>
      <c r="B323" s="1"/>
      <c r="C323" s="1"/>
      <c r="D323" s="1"/>
      <c r="E323" s="1"/>
      <c r="F323" s="1"/>
    </row>
    <row r="324" ht="15.75" customHeight="1">
      <c r="A324" s="1"/>
      <c r="B324" s="1"/>
      <c r="C324" s="1"/>
      <c r="D324" s="1"/>
      <c r="E324" s="1"/>
      <c r="F324" s="1"/>
    </row>
    <row r="325" ht="15.75" customHeight="1">
      <c r="A325" s="1"/>
      <c r="B325" s="1"/>
      <c r="C325" s="1"/>
      <c r="D325" s="1"/>
      <c r="E325" s="1"/>
      <c r="F325" s="1"/>
    </row>
    <row r="326" ht="15.75" customHeight="1">
      <c r="A326" s="1"/>
      <c r="B326" s="1"/>
      <c r="C326" s="1"/>
      <c r="D326" s="1"/>
      <c r="E326" s="1"/>
      <c r="F326" s="1"/>
    </row>
    <row r="327" ht="15.75" customHeight="1">
      <c r="A327" s="1"/>
      <c r="B327" s="1"/>
      <c r="C327" s="1"/>
      <c r="D327" s="1"/>
      <c r="E327" s="1"/>
      <c r="F327" s="1"/>
    </row>
    <row r="328" ht="15.75" customHeight="1">
      <c r="A328" s="1"/>
      <c r="B328" s="1"/>
      <c r="C328" s="1"/>
      <c r="D328" s="1"/>
      <c r="E328" s="1"/>
      <c r="F328" s="1"/>
    </row>
    <row r="329" ht="15.75" customHeight="1">
      <c r="A329" s="1"/>
      <c r="B329" s="1"/>
      <c r="C329" s="1"/>
      <c r="D329" s="1"/>
      <c r="E329" s="1"/>
      <c r="F329" s="1"/>
    </row>
    <row r="330" ht="15.75" customHeight="1">
      <c r="A330" s="1"/>
      <c r="B330" s="1"/>
      <c r="C330" s="1"/>
      <c r="D330" s="1"/>
      <c r="E330" s="1"/>
      <c r="F330" s="1"/>
    </row>
    <row r="331" ht="15.75" customHeight="1">
      <c r="A331" s="1"/>
      <c r="B331" s="1"/>
      <c r="C331" s="1"/>
      <c r="D331" s="1"/>
      <c r="E331" s="1"/>
      <c r="F331" s="1"/>
    </row>
    <row r="332" ht="15.75" customHeight="1">
      <c r="A332" s="1"/>
      <c r="B332" s="1"/>
      <c r="C332" s="1"/>
      <c r="D332" s="1"/>
      <c r="E332" s="1"/>
      <c r="F332" s="1"/>
    </row>
    <row r="333" ht="15.75" customHeight="1">
      <c r="A333" s="1"/>
      <c r="B333" s="1"/>
      <c r="C333" s="1"/>
      <c r="D333" s="1"/>
      <c r="E333" s="1"/>
      <c r="F333" s="1"/>
    </row>
    <row r="334" ht="15.75" customHeight="1">
      <c r="A334" s="1"/>
      <c r="B334" s="1"/>
      <c r="C334" s="1"/>
      <c r="D334" s="1"/>
      <c r="E334" s="1"/>
      <c r="F334" s="1"/>
    </row>
    <row r="335" ht="15.75" customHeight="1">
      <c r="A335" s="1"/>
      <c r="B335" s="1"/>
      <c r="C335" s="1"/>
      <c r="D335" s="1"/>
      <c r="E335" s="1"/>
      <c r="F335" s="1"/>
    </row>
    <row r="336" ht="15.75" customHeight="1">
      <c r="A336" s="1"/>
      <c r="B336" s="1"/>
      <c r="C336" s="1"/>
      <c r="D336" s="1"/>
      <c r="E336" s="1"/>
      <c r="F336" s="1"/>
    </row>
    <row r="337" ht="15.75" customHeight="1">
      <c r="A337" s="1"/>
      <c r="B337" s="1"/>
      <c r="C337" s="1"/>
      <c r="D337" s="1"/>
      <c r="E337" s="1"/>
      <c r="F337" s="1"/>
    </row>
    <row r="338" ht="15.75" customHeight="1">
      <c r="A338" s="1"/>
      <c r="B338" s="1"/>
      <c r="C338" s="1"/>
      <c r="D338" s="1"/>
      <c r="E338" s="1"/>
      <c r="F338" s="1"/>
    </row>
    <row r="339" ht="15.75" customHeight="1">
      <c r="A339" s="1"/>
      <c r="B339" s="1"/>
      <c r="C339" s="1"/>
      <c r="D339" s="1"/>
      <c r="E339" s="1"/>
      <c r="F339" s="1"/>
    </row>
    <row r="340" ht="15.75" customHeight="1">
      <c r="A340" s="1"/>
      <c r="B340" s="1"/>
      <c r="C340" s="1"/>
      <c r="D340" s="1"/>
      <c r="E340" s="1"/>
      <c r="F340" s="1"/>
    </row>
    <row r="341" ht="15.75" customHeight="1">
      <c r="A341" s="1"/>
      <c r="B341" s="1"/>
      <c r="C341" s="1"/>
      <c r="D341" s="1"/>
      <c r="E341" s="1"/>
      <c r="F341" s="1"/>
    </row>
    <row r="342" ht="15.75" customHeight="1">
      <c r="A342" s="1"/>
      <c r="B342" s="1"/>
      <c r="C342" s="1"/>
      <c r="D342" s="1"/>
      <c r="E342" s="1"/>
      <c r="F342" s="1"/>
    </row>
    <row r="343" ht="15.75" customHeight="1">
      <c r="A343" s="1"/>
      <c r="B343" s="1"/>
      <c r="C343" s="1"/>
      <c r="D343" s="1"/>
      <c r="E343" s="1"/>
      <c r="F343" s="1"/>
    </row>
    <row r="344" ht="15.75" customHeight="1">
      <c r="A344" s="1"/>
      <c r="B344" s="1"/>
      <c r="C344" s="1"/>
      <c r="D344" s="1"/>
      <c r="E344" s="1"/>
      <c r="F344" s="1"/>
    </row>
    <row r="345" ht="15.75" customHeight="1">
      <c r="A345" s="1"/>
      <c r="B345" s="1"/>
      <c r="C345" s="1"/>
      <c r="D345" s="1"/>
      <c r="E345" s="1"/>
      <c r="F345" s="1"/>
    </row>
    <row r="346" ht="15.75" customHeight="1">
      <c r="A346" s="1"/>
      <c r="B346" s="1"/>
      <c r="C346" s="1"/>
      <c r="D346" s="1"/>
      <c r="E346" s="1"/>
      <c r="F346" s="1"/>
    </row>
    <row r="347" ht="15.75" customHeight="1">
      <c r="A347" s="1"/>
      <c r="B347" s="1"/>
      <c r="C347" s="1"/>
      <c r="D347" s="1"/>
      <c r="E347" s="1"/>
      <c r="F347" s="1"/>
    </row>
    <row r="348" ht="15.75" customHeight="1">
      <c r="A348" s="1"/>
      <c r="B348" s="1"/>
      <c r="C348" s="1"/>
      <c r="D348" s="1"/>
      <c r="E348" s="1"/>
      <c r="F348" s="1"/>
    </row>
    <row r="349" ht="15.75" customHeight="1">
      <c r="A349" s="1"/>
      <c r="B349" s="1"/>
      <c r="C349" s="1"/>
      <c r="D349" s="1"/>
      <c r="E349" s="1"/>
      <c r="F349" s="1"/>
    </row>
    <row r="350" ht="15.75" customHeight="1">
      <c r="A350" s="1"/>
      <c r="B350" s="1"/>
      <c r="C350" s="1"/>
      <c r="D350" s="1"/>
      <c r="E350" s="1"/>
      <c r="F350" s="1"/>
    </row>
    <row r="351" ht="15.75" customHeight="1">
      <c r="A351" s="1"/>
      <c r="B351" s="1"/>
      <c r="C351" s="1"/>
      <c r="D351" s="1"/>
      <c r="E351" s="1"/>
      <c r="F351" s="1"/>
    </row>
    <row r="352" ht="15.75" customHeight="1">
      <c r="A352" s="1"/>
      <c r="B352" s="1"/>
      <c r="C352" s="1"/>
      <c r="D352" s="1"/>
      <c r="E352" s="1"/>
      <c r="F352" s="1"/>
    </row>
    <row r="353" ht="15.75" customHeight="1">
      <c r="A353" s="1"/>
      <c r="B353" s="1"/>
      <c r="C353" s="1"/>
      <c r="D353" s="1"/>
      <c r="E353" s="1"/>
      <c r="F353" s="1"/>
    </row>
    <row r="354" ht="15.75" customHeight="1">
      <c r="A354" s="1"/>
      <c r="B354" s="1"/>
      <c r="C354" s="1"/>
      <c r="D354" s="1"/>
      <c r="E354" s="1"/>
      <c r="F354" s="1"/>
    </row>
    <row r="355" ht="15.75" customHeight="1">
      <c r="A355" s="1"/>
      <c r="B355" s="1"/>
      <c r="C355" s="1"/>
      <c r="D355" s="1"/>
      <c r="E355" s="1"/>
      <c r="F355" s="1"/>
    </row>
    <row r="356" ht="15.75" customHeight="1">
      <c r="A356" s="1"/>
      <c r="B356" s="1"/>
      <c r="C356" s="1"/>
      <c r="D356" s="1"/>
      <c r="E356" s="1"/>
      <c r="F356" s="1"/>
    </row>
    <row r="357" ht="15.75" customHeight="1">
      <c r="A357" s="1"/>
      <c r="B357" s="1"/>
      <c r="C357" s="1"/>
      <c r="D357" s="1"/>
      <c r="E357" s="1"/>
      <c r="F357" s="1"/>
    </row>
    <row r="358" ht="15.75" customHeight="1">
      <c r="A358" s="1"/>
      <c r="B358" s="1"/>
      <c r="C358" s="1"/>
      <c r="D358" s="1"/>
      <c r="E358" s="1"/>
      <c r="F358" s="1"/>
    </row>
    <row r="359" ht="15.75" customHeight="1">
      <c r="A359" s="1"/>
      <c r="B359" s="1"/>
      <c r="C359" s="1"/>
      <c r="D359" s="1"/>
      <c r="E359" s="1"/>
      <c r="F359" s="1"/>
    </row>
    <row r="360" ht="15.75" customHeight="1">
      <c r="A360" s="1"/>
      <c r="B360" s="1"/>
      <c r="C360" s="1"/>
      <c r="D360" s="1"/>
      <c r="E360" s="1"/>
      <c r="F360" s="1"/>
    </row>
    <row r="361" ht="15.75" customHeight="1">
      <c r="A361" s="1"/>
      <c r="B361" s="1"/>
      <c r="C361" s="1"/>
      <c r="D361" s="1"/>
      <c r="E361" s="1"/>
      <c r="F361" s="1"/>
    </row>
    <row r="362" ht="15.75" customHeight="1">
      <c r="A362" s="1"/>
      <c r="B362" s="1"/>
      <c r="C362" s="1"/>
      <c r="D362" s="1"/>
      <c r="E362" s="1"/>
      <c r="F362" s="1"/>
    </row>
    <row r="363" ht="15.75" customHeight="1">
      <c r="A363" s="1"/>
      <c r="B363" s="1"/>
      <c r="C363" s="1"/>
      <c r="D363" s="1"/>
      <c r="E363" s="1"/>
      <c r="F363" s="1"/>
    </row>
    <row r="364" ht="15.75" customHeight="1">
      <c r="A364" s="1"/>
      <c r="B364" s="1"/>
      <c r="C364" s="1"/>
      <c r="D364" s="1"/>
      <c r="E364" s="1"/>
      <c r="F364" s="1"/>
    </row>
    <row r="365" ht="15.75" customHeight="1">
      <c r="A365" s="1"/>
      <c r="B365" s="1"/>
      <c r="C365" s="1"/>
      <c r="D365" s="1"/>
      <c r="E365" s="1"/>
      <c r="F365" s="1"/>
    </row>
    <row r="366" ht="15.75" customHeight="1">
      <c r="A366" s="1"/>
      <c r="B366" s="1"/>
      <c r="C366" s="1"/>
      <c r="D366" s="1"/>
      <c r="E366" s="1"/>
      <c r="F366" s="1"/>
    </row>
    <row r="367" ht="15.75" customHeight="1">
      <c r="A367" s="1"/>
      <c r="B367" s="1"/>
      <c r="C367" s="1"/>
      <c r="D367" s="1"/>
      <c r="E367" s="1"/>
      <c r="F367" s="1"/>
    </row>
    <row r="368" ht="15.75" customHeight="1">
      <c r="A368" s="1"/>
      <c r="B368" s="1"/>
      <c r="C368" s="1"/>
      <c r="D368" s="1"/>
      <c r="E368" s="1"/>
      <c r="F368" s="1"/>
    </row>
    <row r="369" ht="15.75" customHeight="1">
      <c r="A369" s="1"/>
      <c r="B369" s="1"/>
      <c r="C369" s="1"/>
      <c r="D369" s="1"/>
      <c r="E369" s="1"/>
      <c r="F369" s="1"/>
    </row>
    <row r="370" ht="15.75" customHeight="1">
      <c r="A370" s="1"/>
      <c r="B370" s="1"/>
      <c r="C370" s="1"/>
      <c r="D370" s="1"/>
      <c r="E370" s="1"/>
      <c r="F370" s="1"/>
    </row>
    <row r="371" ht="15.75" customHeight="1">
      <c r="A371" s="1"/>
      <c r="B371" s="1"/>
      <c r="C371" s="1"/>
      <c r="D371" s="1"/>
      <c r="E371" s="1"/>
      <c r="F371" s="1"/>
    </row>
    <row r="372" ht="15.75" customHeight="1">
      <c r="A372" s="1"/>
      <c r="B372" s="1"/>
      <c r="C372" s="1"/>
      <c r="D372" s="1"/>
      <c r="E372" s="1"/>
      <c r="F372" s="1"/>
    </row>
    <row r="373" ht="15.75" customHeight="1">
      <c r="A373" s="1"/>
      <c r="B373" s="1"/>
      <c r="C373" s="1"/>
      <c r="D373" s="1"/>
      <c r="E373" s="1"/>
      <c r="F373" s="1"/>
    </row>
    <row r="374" ht="15.75" customHeight="1">
      <c r="A374" s="1"/>
      <c r="B374" s="1"/>
      <c r="C374" s="1"/>
      <c r="D374" s="1"/>
      <c r="E374" s="1"/>
      <c r="F374" s="1"/>
    </row>
    <row r="375" ht="15.75" customHeight="1">
      <c r="A375" s="1"/>
      <c r="B375" s="1"/>
      <c r="C375" s="1"/>
      <c r="D375" s="1"/>
      <c r="E375" s="1"/>
      <c r="F375" s="1"/>
    </row>
    <row r="376" ht="15.75" customHeight="1">
      <c r="A376" s="1"/>
      <c r="B376" s="1"/>
      <c r="C376" s="1"/>
      <c r="D376" s="1"/>
      <c r="E376" s="1"/>
      <c r="F376" s="1"/>
    </row>
    <row r="377" ht="15.75" customHeight="1">
      <c r="A377" s="1"/>
      <c r="B377" s="1"/>
      <c r="C377" s="1"/>
      <c r="D377" s="1"/>
      <c r="E377" s="1"/>
      <c r="F377" s="1"/>
    </row>
    <row r="378" ht="15.75" customHeight="1">
      <c r="A378" s="1"/>
      <c r="B378" s="1"/>
      <c r="C378" s="1"/>
      <c r="D378" s="1"/>
      <c r="E378" s="1"/>
      <c r="F378" s="1"/>
    </row>
    <row r="379" ht="15.75" customHeight="1">
      <c r="A379" s="1"/>
      <c r="B379" s="1"/>
      <c r="C379" s="1"/>
      <c r="D379" s="1"/>
      <c r="E379" s="1"/>
      <c r="F379" s="1"/>
    </row>
    <row r="380" ht="15.75" customHeight="1">
      <c r="A380" s="1"/>
      <c r="B380" s="1"/>
      <c r="C380" s="1"/>
      <c r="D380" s="1"/>
      <c r="E380" s="1"/>
      <c r="F380" s="1"/>
    </row>
    <row r="381" ht="15.75" customHeight="1">
      <c r="A381" s="1"/>
      <c r="B381" s="1"/>
      <c r="C381" s="1"/>
      <c r="D381" s="1"/>
      <c r="E381" s="1"/>
      <c r="F381" s="1"/>
    </row>
    <row r="382" ht="15.75" customHeight="1">
      <c r="A382" s="1"/>
      <c r="B382" s="1"/>
      <c r="C382" s="1"/>
      <c r="D382" s="1"/>
      <c r="E382" s="1"/>
      <c r="F382" s="1"/>
    </row>
    <row r="383" ht="15.75" customHeight="1">
      <c r="A383" s="1"/>
      <c r="B383" s="1"/>
      <c r="C383" s="1"/>
      <c r="D383" s="1"/>
      <c r="E383" s="1"/>
      <c r="F383" s="1"/>
    </row>
    <row r="384" ht="15.75" customHeight="1">
      <c r="A384" s="1"/>
      <c r="B384" s="1"/>
      <c r="C384" s="1"/>
      <c r="D384" s="1"/>
      <c r="E384" s="1"/>
      <c r="F384" s="1"/>
    </row>
    <row r="385" ht="15.75" customHeight="1">
      <c r="A385" s="1"/>
      <c r="B385" s="1"/>
      <c r="C385" s="1"/>
      <c r="D385" s="1"/>
      <c r="E385" s="1"/>
      <c r="F385" s="1"/>
    </row>
    <row r="386" ht="15.75" customHeight="1">
      <c r="A386" s="1"/>
      <c r="B386" s="1"/>
      <c r="C386" s="1"/>
      <c r="D386" s="1"/>
      <c r="E386" s="1"/>
      <c r="F386" s="1"/>
    </row>
    <row r="387" ht="15.75" customHeight="1">
      <c r="A387" s="1"/>
      <c r="B387" s="1"/>
      <c r="C387" s="1"/>
      <c r="D387" s="1"/>
      <c r="E387" s="1"/>
      <c r="F387" s="1"/>
    </row>
    <row r="388" ht="15.75" customHeight="1">
      <c r="A388" s="1"/>
      <c r="B388" s="1"/>
      <c r="C388" s="1"/>
      <c r="D388" s="1"/>
      <c r="E388" s="1"/>
      <c r="F388" s="1"/>
    </row>
    <row r="389" ht="15.75" customHeight="1">
      <c r="A389" s="1"/>
      <c r="B389" s="1"/>
      <c r="C389" s="1"/>
      <c r="D389" s="1"/>
      <c r="E389" s="1"/>
      <c r="F389" s="1"/>
    </row>
    <row r="390" ht="15.75" customHeight="1">
      <c r="A390" s="1"/>
      <c r="B390" s="1"/>
      <c r="C390" s="1"/>
      <c r="D390" s="1"/>
      <c r="E390" s="1"/>
      <c r="F390" s="1"/>
    </row>
    <row r="391" ht="15.75" customHeight="1">
      <c r="A391" s="1"/>
      <c r="B391" s="1"/>
      <c r="C391" s="1"/>
      <c r="D391" s="1"/>
      <c r="E391" s="1"/>
      <c r="F391" s="1"/>
    </row>
    <row r="392" ht="15.75" customHeight="1">
      <c r="A392" s="1"/>
      <c r="B392" s="1"/>
      <c r="C392" s="1"/>
      <c r="D392" s="1"/>
      <c r="E392" s="1"/>
      <c r="F392" s="1"/>
    </row>
    <row r="393" ht="15.75" customHeight="1">
      <c r="A393" s="1"/>
      <c r="B393" s="1"/>
      <c r="C393" s="1"/>
      <c r="D393" s="1"/>
      <c r="E393" s="1"/>
      <c r="F393" s="1"/>
    </row>
    <row r="394" ht="15.75" customHeight="1">
      <c r="A394" s="1"/>
      <c r="B394" s="1"/>
      <c r="C394" s="1"/>
      <c r="D394" s="1"/>
      <c r="E394" s="1"/>
      <c r="F394" s="1"/>
    </row>
    <row r="395" ht="15.75" customHeight="1">
      <c r="A395" s="1"/>
      <c r="B395" s="1"/>
      <c r="C395" s="1"/>
      <c r="D395" s="1"/>
      <c r="E395" s="1"/>
      <c r="F395" s="1"/>
    </row>
    <row r="396" ht="15.75" customHeight="1">
      <c r="A396" s="1"/>
      <c r="B396" s="1"/>
      <c r="C396" s="1"/>
      <c r="D396" s="1"/>
      <c r="E396" s="1"/>
      <c r="F396" s="1"/>
    </row>
    <row r="397" ht="15.75" customHeight="1">
      <c r="A397" s="1"/>
      <c r="B397" s="1"/>
      <c r="C397" s="1"/>
      <c r="D397" s="1"/>
      <c r="E397" s="1"/>
      <c r="F397" s="1"/>
    </row>
    <row r="398" ht="15.75" customHeight="1">
      <c r="A398" s="1"/>
      <c r="B398" s="1"/>
      <c r="C398" s="1"/>
      <c r="D398" s="1"/>
      <c r="E398" s="1"/>
      <c r="F398" s="1"/>
    </row>
    <row r="399" ht="15.75" customHeight="1">
      <c r="A399" s="1"/>
      <c r="B399" s="1"/>
      <c r="C399" s="1"/>
      <c r="D399" s="1"/>
      <c r="E399" s="1"/>
      <c r="F399" s="1"/>
    </row>
    <row r="400" ht="15.75" customHeight="1">
      <c r="A400" s="1"/>
      <c r="B400" s="1"/>
      <c r="C400" s="1"/>
      <c r="D400" s="1"/>
      <c r="E400" s="1"/>
      <c r="F400" s="1"/>
    </row>
    <row r="401" ht="15.75" customHeight="1">
      <c r="A401" s="1"/>
      <c r="B401" s="1"/>
      <c r="C401" s="1"/>
      <c r="D401" s="1"/>
      <c r="E401" s="1"/>
      <c r="F401" s="1"/>
    </row>
    <row r="402" ht="15.75" customHeight="1">
      <c r="A402" s="1"/>
      <c r="B402" s="1"/>
      <c r="C402" s="1"/>
      <c r="D402" s="1"/>
      <c r="E402" s="1"/>
      <c r="F402" s="1"/>
    </row>
    <row r="403" ht="15.75" customHeight="1">
      <c r="A403" s="1"/>
      <c r="B403" s="1"/>
      <c r="C403" s="1"/>
      <c r="D403" s="1"/>
      <c r="E403" s="1"/>
      <c r="F403" s="1"/>
    </row>
    <row r="404" ht="15.75" customHeight="1">
      <c r="A404" s="1"/>
      <c r="B404" s="1"/>
      <c r="C404" s="1"/>
      <c r="D404" s="1"/>
      <c r="E404" s="1"/>
      <c r="F404" s="1"/>
    </row>
    <row r="405" ht="15.75" customHeight="1">
      <c r="A405" s="1"/>
      <c r="B405" s="1"/>
      <c r="C405" s="1"/>
      <c r="D405" s="1"/>
      <c r="E405" s="1"/>
      <c r="F405" s="1"/>
    </row>
    <row r="406" ht="15.75" customHeight="1">
      <c r="A406" s="1"/>
      <c r="B406" s="1"/>
      <c r="C406" s="1"/>
      <c r="D406" s="1"/>
      <c r="E406" s="1"/>
      <c r="F406" s="1"/>
    </row>
    <row r="407" ht="15.75" customHeight="1">
      <c r="A407" s="1"/>
      <c r="B407" s="1"/>
      <c r="C407" s="1"/>
      <c r="D407" s="1"/>
      <c r="E407" s="1"/>
      <c r="F407" s="1"/>
    </row>
    <row r="408" ht="15.75" customHeight="1">
      <c r="A408" s="1"/>
      <c r="B408" s="1"/>
      <c r="C408" s="1"/>
      <c r="D408" s="1"/>
      <c r="E408" s="1"/>
      <c r="F408" s="1"/>
    </row>
    <row r="409" ht="15.75" customHeight="1">
      <c r="A409" s="1"/>
      <c r="B409" s="1"/>
      <c r="C409" s="1"/>
      <c r="D409" s="1"/>
      <c r="E409" s="1"/>
      <c r="F409" s="1"/>
    </row>
    <row r="410" ht="15.75" customHeight="1">
      <c r="A410" s="1"/>
      <c r="B410" s="1"/>
      <c r="C410" s="1"/>
      <c r="D410" s="1"/>
      <c r="E410" s="1"/>
      <c r="F410" s="1"/>
    </row>
    <row r="411" ht="15.75" customHeight="1">
      <c r="A411" s="1"/>
      <c r="B411" s="1"/>
      <c r="C411" s="1"/>
      <c r="D411" s="1"/>
      <c r="E411" s="1"/>
      <c r="F411" s="1"/>
    </row>
    <row r="412" ht="15.75" customHeight="1">
      <c r="A412" s="1"/>
      <c r="B412" s="1"/>
      <c r="C412" s="1"/>
      <c r="D412" s="1"/>
      <c r="E412" s="1"/>
      <c r="F412" s="1"/>
    </row>
    <row r="413" ht="15.75" customHeight="1">
      <c r="A413" s="1"/>
      <c r="B413" s="1"/>
      <c r="C413" s="1"/>
      <c r="D413" s="1"/>
      <c r="E413" s="1"/>
      <c r="F413" s="1"/>
    </row>
    <row r="414" ht="15.75" customHeight="1">
      <c r="A414" s="1"/>
      <c r="B414" s="1"/>
      <c r="C414" s="1"/>
      <c r="D414" s="1"/>
      <c r="E414" s="1"/>
      <c r="F414" s="1"/>
    </row>
    <row r="415" ht="15.75" customHeight="1">
      <c r="A415" s="1"/>
      <c r="B415" s="1"/>
      <c r="C415" s="1"/>
      <c r="D415" s="1"/>
      <c r="E415" s="1"/>
      <c r="F415" s="1"/>
    </row>
    <row r="416" ht="15.75" customHeight="1">
      <c r="A416" s="1"/>
      <c r="B416" s="1"/>
      <c r="C416" s="1"/>
      <c r="D416" s="1"/>
      <c r="E416" s="1"/>
      <c r="F416" s="1"/>
    </row>
    <row r="417" ht="15.75" customHeight="1">
      <c r="A417" s="1"/>
      <c r="B417" s="1"/>
      <c r="C417" s="1"/>
      <c r="D417" s="1"/>
      <c r="E417" s="1"/>
      <c r="F417" s="1"/>
    </row>
    <row r="418" ht="15.75" customHeight="1">
      <c r="A418" s="1"/>
      <c r="B418" s="1"/>
      <c r="C418" s="1"/>
      <c r="D418" s="1"/>
      <c r="E418" s="1"/>
      <c r="F418" s="1"/>
    </row>
    <row r="419" ht="15.75" customHeight="1">
      <c r="A419" s="1"/>
      <c r="B419" s="1"/>
      <c r="C419" s="1"/>
      <c r="D419" s="1"/>
      <c r="E419" s="1"/>
      <c r="F419" s="1"/>
    </row>
    <row r="420" ht="15.75" customHeight="1">
      <c r="A420" s="1"/>
      <c r="B420" s="1"/>
      <c r="C420" s="1"/>
      <c r="D420" s="1"/>
      <c r="E420" s="1"/>
      <c r="F420" s="1"/>
    </row>
    <row r="421" ht="15.75" customHeight="1">
      <c r="A421" s="1"/>
      <c r="B421" s="1"/>
      <c r="C421" s="1"/>
      <c r="D421" s="1"/>
      <c r="E421" s="1"/>
      <c r="F421" s="1"/>
    </row>
    <row r="422" ht="15.75" customHeight="1">
      <c r="A422" s="1"/>
      <c r="B422" s="1"/>
      <c r="C422" s="1"/>
      <c r="D422" s="1"/>
      <c r="E422" s="1"/>
      <c r="F422" s="1"/>
    </row>
    <row r="423" ht="15.75" customHeight="1">
      <c r="A423" s="1"/>
      <c r="B423" s="1"/>
      <c r="C423" s="1"/>
      <c r="D423" s="1"/>
      <c r="E423" s="1"/>
      <c r="F423" s="1"/>
    </row>
    <row r="424" ht="15.75" customHeight="1">
      <c r="A424" s="1"/>
      <c r="B424" s="1"/>
      <c r="C424" s="1"/>
      <c r="D424" s="1"/>
      <c r="E424" s="1"/>
      <c r="F424" s="1"/>
    </row>
    <row r="425" ht="15.75" customHeight="1">
      <c r="A425" s="1"/>
      <c r="B425" s="1"/>
      <c r="C425" s="1"/>
      <c r="D425" s="1"/>
      <c r="E425" s="1"/>
      <c r="F425" s="1"/>
    </row>
    <row r="426" ht="15.75" customHeight="1">
      <c r="A426" s="1"/>
      <c r="B426" s="1"/>
      <c r="C426" s="1"/>
      <c r="D426" s="1"/>
      <c r="E426" s="1"/>
      <c r="F426" s="1"/>
    </row>
    <row r="427" ht="15.75" customHeight="1">
      <c r="A427" s="1"/>
      <c r="B427" s="1"/>
      <c r="C427" s="1"/>
      <c r="D427" s="1"/>
      <c r="E427" s="1"/>
      <c r="F427" s="1"/>
    </row>
    <row r="428" ht="15.75" customHeight="1">
      <c r="A428" s="1"/>
      <c r="B428" s="1"/>
      <c r="C428" s="1"/>
      <c r="D428" s="1"/>
      <c r="E428" s="1"/>
      <c r="F428" s="1"/>
    </row>
    <row r="429" ht="15.75" customHeight="1">
      <c r="A429" s="1"/>
      <c r="B429" s="1"/>
      <c r="C429" s="1"/>
      <c r="D429" s="1"/>
      <c r="E429" s="1"/>
      <c r="F429" s="1"/>
    </row>
    <row r="430" ht="15.75" customHeight="1">
      <c r="A430" s="1"/>
      <c r="B430" s="1"/>
      <c r="C430" s="1"/>
      <c r="D430" s="1"/>
      <c r="E430" s="1"/>
      <c r="F430" s="1"/>
    </row>
    <row r="431" ht="15.75" customHeight="1">
      <c r="A431" s="1"/>
      <c r="B431" s="1"/>
      <c r="C431" s="1"/>
      <c r="D431" s="1"/>
      <c r="E431" s="1"/>
      <c r="F431" s="1"/>
    </row>
    <row r="432" ht="15.75" customHeight="1">
      <c r="A432" s="1"/>
      <c r="B432" s="1"/>
      <c r="C432" s="1"/>
      <c r="D432" s="1"/>
      <c r="E432" s="1"/>
      <c r="F432" s="1"/>
    </row>
    <row r="433" ht="15.75" customHeight="1">
      <c r="A433" s="1"/>
      <c r="B433" s="1"/>
      <c r="C433" s="1"/>
      <c r="D433" s="1"/>
      <c r="E433" s="1"/>
      <c r="F433" s="1"/>
    </row>
    <row r="434" ht="15.75" customHeight="1">
      <c r="A434" s="1"/>
      <c r="B434" s="1"/>
      <c r="C434" s="1"/>
      <c r="D434" s="1"/>
      <c r="E434" s="1"/>
      <c r="F434" s="1"/>
    </row>
    <row r="435" ht="15.75" customHeight="1">
      <c r="A435" s="1"/>
      <c r="B435" s="1"/>
      <c r="C435" s="1"/>
      <c r="D435" s="1"/>
      <c r="E435" s="1"/>
      <c r="F435" s="1"/>
    </row>
    <row r="436" ht="15.75" customHeight="1">
      <c r="A436" s="1"/>
      <c r="B436" s="1"/>
      <c r="C436" s="1"/>
      <c r="D436" s="1"/>
      <c r="E436" s="1"/>
      <c r="F436" s="1"/>
    </row>
    <row r="437" ht="15.75" customHeight="1">
      <c r="A437" s="1"/>
      <c r="B437" s="1"/>
      <c r="C437" s="1"/>
      <c r="D437" s="1"/>
      <c r="E437" s="1"/>
      <c r="F437" s="1"/>
    </row>
    <row r="438" ht="15.75" customHeight="1">
      <c r="A438" s="1"/>
      <c r="B438" s="1"/>
      <c r="C438" s="1"/>
      <c r="D438" s="1"/>
      <c r="E438" s="1"/>
      <c r="F438" s="1"/>
    </row>
    <row r="439" ht="15.75" customHeight="1">
      <c r="A439" s="1"/>
      <c r="B439" s="1"/>
      <c r="C439" s="1"/>
      <c r="D439" s="1"/>
      <c r="E439" s="1"/>
      <c r="F439" s="1"/>
    </row>
    <row r="440" ht="15.75" customHeight="1">
      <c r="A440" s="1"/>
      <c r="B440" s="1"/>
      <c r="C440" s="1"/>
      <c r="D440" s="1"/>
      <c r="E440" s="1"/>
      <c r="F440" s="1"/>
    </row>
    <row r="441" ht="15.75" customHeight="1">
      <c r="A441" s="1"/>
      <c r="B441" s="1"/>
      <c r="C441" s="1"/>
      <c r="D441" s="1"/>
      <c r="E441" s="1"/>
      <c r="F441" s="1"/>
    </row>
    <row r="442" ht="15.75" customHeight="1">
      <c r="A442" s="1"/>
      <c r="B442" s="1"/>
      <c r="C442" s="1"/>
      <c r="D442" s="1"/>
      <c r="E442" s="1"/>
      <c r="F442" s="1"/>
    </row>
    <row r="443" ht="15.75" customHeight="1">
      <c r="A443" s="1"/>
      <c r="B443" s="1"/>
      <c r="C443" s="1"/>
      <c r="D443" s="1"/>
      <c r="E443" s="1"/>
      <c r="F443" s="1"/>
    </row>
    <row r="444" ht="15.75" customHeight="1">
      <c r="A444" s="1"/>
      <c r="B444" s="1"/>
      <c r="C444" s="1"/>
      <c r="D444" s="1"/>
      <c r="E444" s="1"/>
      <c r="F444" s="1"/>
    </row>
    <row r="445" ht="15.75" customHeight="1">
      <c r="A445" s="1"/>
      <c r="B445" s="1"/>
      <c r="C445" s="1"/>
      <c r="D445" s="1"/>
      <c r="E445" s="1"/>
      <c r="F445" s="1"/>
    </row>
    <row r="446" ht="15.75" customHeight="1">
      <c r="A446" s="1"/>
      <c r="B446" s="1"/>
      <c r="C446" s="1"/>
      <c r="D446" s="1"/>
      <c r="E446" s="1"/>
      <c r="F446" s="1"/>
    </row>
    <row r="447" ht="15.75" customHeight="1">
      <c r="A447" s="1"/>
      <c r="B447" s="1"/>
      <c r="C447" s="1"/>
      <c r="D447" s="1"/>
      <c r="E447" s="1"/>
      <c r="F447" s="1"/>
    </row>
    <row r="448" ht="15.75" customHeight="1">
      <c r="A448" s="1"/>
      <c r="B448" s="1"/>
      <c r="C448" s="1"/>
      <c r="D448" s="1"/>
      <c r="E448" s="1"/>
      <c r="F448" s="1"/>
    </row>
    <row r="449" ht="15.75" customHeight="1">
      <c r="A449" s="1"/>
      <c r="B449" s="1"/>
      <c r="C449" s="1"/>
      <c r="D449" s="1"/>
      <c r="E449" s="1"/>
      <c r="F449" s="1"/>
    </row>
    <row r="450" ht="15.75" customHeight="1">
      <c r="A450" s="1"/>
      <c r="B450" s="1"/>
      <c r="C450" s="1"/>
      <c r="D450" s="1"/>
      <c r="E450" s="1"/>
      <c r="F450" s="1"/>
    </row>
    <row r="451" ht="15.75" customHeight="1">
      <c r="A451" s="1"/>
      <c r="B451" s="1"/>
      <c r="C451" s="1"/>
      <c r="D451" s="1"/>
      <c r="E451" s="1"/>
      <c r="F451" s="1"/>
    </row>
    <row r="452" ht="15.75" customHeight="1">
      <c r="A452" s="1"/>
      <c r="B452" s="1"/>
      <c r="C452" s="1"/>
      <c r="D452" s="1"/>
      <c r="E452" s="1"/>
      <c r="F452" s="1"/>
    </row>
    <row r="453" ht="15.75" customHeight="1">
      <c r="A453" s="1"/>
      <c r="B453" s="1"/>
      <c r="C453" s="1"/>
      <c r="D453" s="1"/>
      <c r="E453" s="1"/>
      <c r="F453" s="1"/>
    </row>
    <row r="454" ht="15.75" customHeight="1">
      <c r="A454" s="1"/>
      <c r="B454" s="1"/>
      <c r="C454" s="1"/>
      <c r="D454" s="1"/>
      <c r="E454" s="1"/>
      <c r="F454" s="1"/>
    </row>
    <row r="455" ht="15.75" customHeight="1">
      <c r="A455" s="1"/>
      <c r="B455" s="1"/>
      <c r="C455" s="1"/>
      <c r="D455" s="1"/>
      <c r="E455" s="1"/>
      <c r="F455" s="1"/>
    </row>
    <row r="456" ht="15.75" customHeight="1">
      <c r="A456" s="1"/>
      <c r="B456" s="1"/>
      <c r="C456" s="1"/>
      <c r="D456" s="1"/>
      <c r="E456" s="1"/>
      <c r="F456" s="1"/>
    </row>
    <row r="457" ht="15.75" customHeight="1">
      <c r="A457" s="1"/>
      <c r="B457" s="1"/>
      <c r="C457" s="1"/>
      <c r="D457" s="1"/>
      <c r="E457" s="1"/>
      <c r="F457" s="1"/>
    </row>
    <row r="458" ht="15.75" customHeight="1">
      <c r="A458" s="1"/>
      <c r="B458" s="1"/>
      <c r="C458" s="1"/>
      <c r="D458" s="1"/>
      <c r="E458" s="1"/>
      <c r="F458" s="1"/>
    </row>
    <row r="459" ht="15.75" customHeight="1">
      <c r="A459" s="1"/>
      <c r="B459" s="1"/>
      <c r="C459" s="1"/>
      <c r="D459" s="1"/>
      <c r="E459" s="1"/>
      <c r="F459" s="1"/>
    </row>
    <row r="460" ht="15.75" customHeight="1">
      <c r="A460" s="1"/>
      <c r="B460" s="1"/>
      <c r="C460" s="1"/>
      <c r="D460" s="1"/>
      <c r="E460" s="1"/>
      <c r="F460" s="1"/>
    </row>
    <row r="461" ht="15.75" customHeight="1">
      <c r="A461" s="1"/>
      <c r="B461" s="1"/>
      <c r="C461" s="1"/>
      <c r="D461" s="1"/>
      <c r="E461" s="1"/>
      <c r="F461" s="1"/>
    </row>
    <row r="462" ht="15.75" customHeight="1">
      <c r="A462" s="1"/>
      <c r="B462" s="1"/>
      <c r="C462" s="1"/>
      <c r="D462" s="1"/>
      <c r="E462" s="1"/>
      <c r="F462" s="1"/>
    </row>
    <row r="463" ht="15.75" customHeight="1">
      <c r="A463" s="1"/>
      <c r="B463" s="1"/>
      <c r="C463" s="1"/>
      <c r="D463" s="1"/>
      <c r="E463" s="1"/>
      <c r="F463" s="1"/>
    </row>
    <row r="464" ht="15.75" customHeight="1">
      <c r="A464" s="1"/>
      <c r="B464" s="1"/>
      <c r="C464" s="1"/>
      <c r="D464" s="1"/>
      <c r="E464" s="1"/>
      <c r="F464" s="1"/>
    </row>
    <row r="465" ht="15.75" customHeight="1">
      <c r="A465" s="1"/>
      <c r="B465" s="1"/>
      <c r="C465" s="1"/>
      <c r="D465" s="1"/>
      <c r="E465" s="1"/>
      <c r="F465" s="1"/>
    </row>
    <row r="466" ht="15.75" customHeight="1">
      <c r="A466" s="1"/>
      <c r="B466" s="1"/>
      <c r="C466" s="1"/>
      <c r="D466" s="1"/>
      <c r="E466" s="1"/>
      <c r="F466" s="1"/>
    </row>
    <row r="467" ht="15.75" customHeight="1">
      <c r="A467" s="1"/>
      <c r="B467" s="1"/>
      <c r="C467" s="1"/>
      <c r="D467" s="1"/>
      <c r="E467" s="1"/>
      <c r="F467" s="1"/>
    </row>
    <row r="468" ht="15.75" customHeight="1">
      <c r="A468" s="1"/>
      <c r="B468" s="1"/>
      <c r="C468" s="1"/>
      <c r="D468" s="1"/>
      <c r="E468" s="1"/>
      <c r="F468" s="1"/>
    </row>
    <row r="469" ht="15.75" customHeight="1">
      <c r="A469" s="1"/>
      <c r="B469" s="1"/>
      <c r="C469" s="1"/>
      <c r="D469" s="1"/>
      <c r="E469" s="1"/>
      <c r="F469" s="1"/>
    </row>
    <row r="470" ht="15.75" customHeight="1">
      <c r="A470" s="1"/>
      <c r="B470" s="1"/>
      <c r="C470" s="1"/>
      <c r="D470" s="1"/>
      <c r="E470" s="1"/>
      <c r="F470" s="1"/>
    </row>
    <row r="471" ht="15.75" customHeight="1">
      <c r="A471" s="1"/>
      <c r="B471" s="1"/>
      <c r="C471" s="1"/>
      <c r="D471" s="1"/>
      <c r="E471" s="1"/>
      <c r="F471" s="1"/>
    </row>
    <row r="472" ht="15.75" customHeight="1">
      <c r="A472" s="1"/>
      <c r="B472" s="1"/>
      <c r="C472" s="1"/>
      <c r="D472" s="1"/>
      <c r="E472" s="1"/>
      <c r="F472" s="1"/>
    </row>
    <row r="473" ht="15.75" customHeight="1">
      <c r="A473" s="1"/>
      <c r="B473" s="1"/>
      <c r="C473" s="1"/>
      <c r="D473" s="1"/>
      <c r="E473" s="1"/>
      <c r="F473" s="1"/>
    </row>
    <row r="474" ht="15.75" customHeight="1">
      <c r="A474" s="1"/>
      <c r="B474" s="1"/>
      <c r="C474" s="1"/>
      <c r="D474" s="1"/>
      <c r="E474" s="1"/>
      <c r="F474" s="1"/>
    </row>
    <row r="475" ht="15.75" customHeight="1">
      <c r="A475" s="1"/>
      <c r="B475" s="1"/>
      <c r="C475" s="1"/>
      <c r="D475" s="1"/>
      <c r="E475" s="1"/>
      <c r="F475" s="1"/>
    </row>
    <row r="476" ht="15.75" customHeight="1">
      <c r="A476" s="1"/>
      <c r="B476" s="1"/>
      <c r="C476" s="1"/>
      <c r="D476" s="1"/>
      <c r="E476" s="1"/>
      <c r="F476" s="1"/>
    </row>
    <row r="477" ht="15.75" customHeight="1">
      <c r="A477" s="1"/>
      <c r="B477" s="1"/>
      <c r="C477" s="1"/>
      <c r="D477" s="1"/>
      <c r="E477" s="1"/>
      <c r="F477" s="1"/>
    </row>
    <row r="478" ht="15.75" customHeight="1">
      <c r="A478" s="1"/>
      <c r="B478" s="1"/>
      <c r="C478" s="1"/>
      <c r="D478" s="1"/>
      <c r="E478" s="1"/>
      <c r="F478" s="1"/>
    </row>
    <row r="479" ht="15.75" customHeight="1">
      <c r="A479" s="1"/>
      <c r="B479" s="1"/>
      <c r="C479" s="1"/>
      <c r="D479" s="1"/>
      <c r="E479" s="1"/>
      <c r="F479" s="1"/>
    </row>
    <row r="480" ht="15.75" customHeight="1">
      <c r="A480" s="1"/>
      <c r="B480" s="1"/>
      <c r="C480" s="1"/>
      <c r="D480" s="1"/>
      <c r="E480" s="1"/>
      <c r="F480" s="1"/>
    </row>
    <row r="481" ht="15.75" customHeight="1">
      <c r="A481" s="1"/>
      <c r="B481" s="1"/>
      <c r="C481" s="1"/>
      <c r="D481" s="1"/>
      <c r="E481" s="1"/>
      <c r="F481" s="1"/>
    </row>
    <row r="482" ht="15.75" customHeight="1">
      <c r="A482" s="1"/>
      <c r="B482" s="1"/>
      <c r="C482" s="1"/>
      <c r="D482" s="1"/>
      <c r="E482" s="1"/>
      <c r="F482" s="1"/>
    </row>
    <row r="483" ht="15.75" customHeight="1">
      <c r="A483" s="1"/>
      <c r="B483" s="1"/>
      <c r="C483" s="1"/>
      <c r="D483" s="1"/>
      <c r="E483" s="1"/>
      <c r="F483" s="1"/>
    </row>
    <row r="484" ht="15.75" customHeight="1">
      <c r="A484" s="1"/>
      <c r="B484" s="1"/>
      <c r="C484" s="1"/>
      <c r="D484" s="1"/>
      <c r="E484" s="1"/>
      <c r="F484" s="1"/>
    </row>
    <row r="485" ht="15.75" customHeight="1">
      <c r="A485" s="1"/>
      <c r="B485" s="1"/>
      <c r="C485" s="1"/>
      <c r="D485" s="1"/>
      <c r="E485" s="1"/>
      <c r="F485" s="1"/>
    </row>
    <row r="486" ht="15.75" customHeight="1">
      <c r="A486" s="1"/>
      <c r="B486" s="1"/>
      <c r="C486" s="1"/>
      <c r="D486" s="1"/>
      <c r="E486" s="1"/>
      <c r="F486" s="1"/>
    </row>
    <row r="487" ht="15.75" customHeight="1">
      <c r="A487" s="1"/>
      <c r="B487" s="1"/>
      <c r="C487" s="1"/>
      <c r="D487" s="1"/>
      <c r="E487" s="1"/>
      <c r="F487" s="1"/>
    </row>
    <row r="488" ht="15.75" customHeight="1">
      <c r="A488" s="1"/>
      <c r="B488" s="1"/>
      <c r="C488" s="1"/>
      <c r="D488" s="1"/>
      <c r="E488" s="1"/>
      <c r="F488" s="1"/>
    </row>
    <row r="489" ht="15.75" customHeight="1">
      <c r="A489" s="1"/>
      <c r="B489" s="1"/>
      <c r="C489" s="1"/>
      <c r="D489" s="1"/>
      <c r="E489" s="1"/>
      <c r="F489" s="1"/>
    </row>
    <row r="490" ht="15.75" customHeight="1">
      <c r="A490" s="1"/>
      <c r="B490" s="1"/>
      <c r="C490" s="1"/>
      <c r="D490" s="1"/>
      <c r="E490" s="1"/>
      <c r="F490" s="1"/>
    </row>
    <row r="491" ht="15.75" customHeight="1">
      <c r="A491" s="1"/>
      <c r="B491" s="1"/>
      <c r="C491" s="1"/>
      <c r="D491" s="1"/>
      <c r="E491" s="1"/>
      <c r="F491" s="1"/>
    </row>
    <row r="492" ht="15.75" customHeight="1">
      <c r="A492" s="1"/>
      <c r="B492" s="1"/>
      <c r="C492" s="1"/>
      <c r="D492" s="1"/>
      <c r="E492" s="1"/>
      <c r="F492" s="1"/>
    </row>
    <row r="493" ht="15.75" customHeight="1">
      <c r="A493" s="1"/>
      <c r="B493" s="1"/>
      <c r="C493" s="1"/>
      <c r="D493" s="1"/>
      <c r="E493" s="1"/>
      <c r="F493" s="1"/>
    </row>
    <row r="494" ht="15.75" customHeight="1">
      <c r="A494" s="1"/>
      <c r="B494" s="1"/>
      <c r="C494" s="1"/>
      <c r="D494" s="1"/>
      <c r="E494" s="1"/>
      <c r="F494" s="1"/>
    </row>
    <row r="495" ht="15.75" customHeight="1">
      <c r="A495" s="1"/>
      <c r="B495" s="1"/>
      <c r="C495" s="1"/>
      <c r="D495" s="1"/>
      <c r="E495" s="1"/>
      <c r="F495" s="1"/>
    </row>
    <row r="496" ht="15.75" customHeight="1">
      <c r="A496" s="1"/>
      <c r="B496" s="1"/>
      <c r="C496" s="1"/>
      <c r="D496" s="1"/>
      <c r="E496" s="1"/>
      <c r="F496" s="1"/>
    </row>
    <row r="497" ht="15.75" customHeight="1">
      <c r="A497" s="1"/>
      <c r="B497" s="1"/>
      <c r="C497" s="1"/>
      <c r="D497" s="1"/>
      <c r="E497" s="1"/>
      <c r="F497" s="1"/>
    </row>
    <row r="498" ht="15.75" customHeight="1">
      <c r="A498" s="1"/>
      <c r="B498" s="1"/>
      <c r="C498" s="1"/>
      <c r="D498" s="1"/>
      <c r="E498" s="1"/>
      <c r="F498" s="1"/>
    </row>
    <row r="499" ht="15.75" customHeight="1">
      <c r="A499" s="1"/>
      <c r="B499" s="1"/>
      <c r="C499" s="1"/>
      <c r="D499" s="1"/>
      <c r="E499" s="1"/>
      <c r="F499" s="1"/>
    </row>
    <row r="500" ht="15.75" customHeight="1">
      <c r="A500" s="1"/>
      <c r="B500" s="1"/>
      <c r="C500" s="1"/>
      <c r="D500" s="1"/>
      <c r="E500" s="1"/>
      <c r="F500" s="1"/>
    </row>
    <row r="501" ht="15.75" customHeight="1">
      <c r="A501" s="1"/>
      <c r="B501" s="1"/>
      <c r="C501" s="1"/>
      <c r="D501" s="1"/>
      <c r="E501" s="1"/>
      <c r="F501" s="1"/>
    </row>
    <row r="502" ht="15.75" customHeight="1">
      <c r="A502" s="1"/>
      <c r="B502" s="1"/>
      <c r="C502" s="1"/>
      <c r="D502" s="1"/>
      <c r="E502" s="1"/>
      <c r="F502" s="1"/>
    </row>
    <row r="503" ht="15.75" customHeight="1">
      <c r="A503" s="1"/>
      <c r="B503" s="1"/>
      <c r="C503" s="1"/>
      <c r="D503" s="1"/>
      <c r="E503" s="1"/>
      <c r="F503" s="1"/>
    </row>
    <row r="504" ht="15.75" customHeight="1">
      <c r="A504" s="1"/>
      <c r="B504" s="1"/>
      <c r="C504" s="1"/>
      <c r="D504" s="1"/>
      <c r="E504" s="1"/>
      <c r="F504" s="1"/>
    </row>
    <row r="505" ht="15.75" customHeight="1">
      <c r="A505" s="1"/>
      <c r="B505" s="1"/>
      <c r="C505" s="1"/>
      <c r="D505" s="1"/>
      <c r="E505" s="1"/>
      <c r="F505" s="1"/>
    </row>
    <row r="506" ht="15.75" customHeight="1">
      <c r="A506" s="1"/>
      <c r="B506" s="1"/>
      <c r="C506" s="1"/>
      <c r="D506" s="1"/>
      <c r="E506" s="1"/>
      <c r="F506" s="1"/>
    </row>
    <row r="507" ht="15.75" customHeight="1">
      <c r="A507" s="1"/>
      <c r="B507" s="1"/>
      <c r="C507" s="1"/>
      <c r="D507" s="1"/>
      <c r="E507" s="1"/>
      <c r="F507" s="1"/>
    </row>
    <row r="508" ht="15.75" customHeight="1">
      <c r="A508" s="1"/>
      <c r="B508" s="1"/>
      <c r="C508" s="1"/>
      <c r="D508" s="1"/>
      <c r="E508" s="1"/>
      <c r="F508" s="1"/>
    </row>
    <row r="509" ht="15.75" customHeight="1">
      <c r="A509" s="1"/>
      <c r="B509" s="1"/>
      <c r="C509" s="1"/>
      <c r="D509" s="1"/>
      <c r="E509" s="1"/>
      <c r="F509" s="1"/>
    </row>
    <row r="510" ht="15.75" customHeight="1">
      <c r="A510" s="1"/>
      <c r="B510" s="1"/>
      <c r="C510" s="1"/>
      <c r="D510" s="1"/>
      <c r="E510" s="1"/>
      <c r="F510" s="1"/>
    </row>
    <row r="511" ht="15.75" customHeight="1">
      <c r="A511" s="1"/>
      <c r="B511" s="1"/>
      <c r="C511" s="1"/>
      <c r="D511" s="1"/>
      <c r="E511" s="1"/>
      <c r="F511" s="1"/>
    </row>
    <row r="512" ht="15.75" customHeight="1">
      <c r="A512" s="1"/>
      <c r="B512" s="1"/>
      <c r="C512" s="1"/>
      <c r="D512" s="1"/>
      <c r="E512" s="1"/>
      <c r="F512" s="1"/>
    </row>
    <row r="513" ht="15.75" customHeight="1">
      <c r="A513" s="1"/>
      <c r="B513" s="1"/>
      <c r="C513" s="1"/>
      <c r="D513" s="1"/>
      <c r="E513" s="1"/>
      <c r="F513" s="1"/>
    </row>
    <row r="514" ht="15.75" customHeight="1">
      <c r="A514" s="1"/>
      <c r="B514" s="1"/>
      <c r="C514" s="1"/>
      <c r="D514" s="1"/>
      <c r="E514" s="1"/>
      <c r="F514" s="1"/>
    </row>
    <row r="515" ht="15.75" customHeight="1">
      <c r="A515" s="1"/>
      <c r="B515" s="1"/>
      <c r="C515" s="1"/>
      <c r="D515" s="1"/>
      <c r="E515" s="1"/>
      <c r="F515" s="1"/>
    </row>
    <row r="516" ht="15.75" customHeight="1">
      <c r="A516" s="1"/>
      <c r="B516" s="1"/>
      <c r="C516" s="1"/>
      <c r="D516" s="1"/>
      <c r="E516" s="1"/>
      <c r="F516" s="1"/>
    </row>
    <row r="517" ht="15.75" customHeight="1">
      <c r="A517" s="1"/>
      <c r="B517" s="1"/>
      <c r="C517" s="1"/>
      <c r="D517" s="1"/>
      <c r="E517" s="1"/>
      <c r="F517" s="1"/>
    </row>
    <row r="518" ht="15.75" customHeight="1">
      <c r="A518" s="1"/>
      <c r="B518" s="1"/>
      <c r="C518" s="1"/>
      <c r="D518" s="1"/>
      <c r="E518" s="1"/>
      <c r="F518" s="1"/>
    </row>
    <row r="519" ht="15.75" customHeight="1">
      <c r="A519" s="1"/>
      <c r="B519" s="1"/>
      <c r="C519" s="1"/>
      <c r="D519" s="1"/>
      <c r="E519" s="1"/>
      <c r="F519" s="1"/>
    </row>
    <row r="520" ht="15.75" customHeight="1">
      <c r="A520" s="1"/>
      <c r="B520" s="1"/>
      <c r="C520" s="1"/>
      <c r="D520" s="1"/>
      <c r="E520" s="1"/>
      <c r="F520" s="1"/>
    </row>
    <row r="521" ht="15.75" customHeight="1">
      <c r="A521" s="1"/>
      <c r="B521" s="1"/>
      <c r="C521" s="1"/>
      <c r="D521" s="1"/>
      <c r="E521" s="1"/>
      <c r="F521" s="1"/>
    </row>
    <row r="522" ht="15.75" customHeight="1">
      <c r="A522" s="1"/>
      <c r="B522" s="1"/>
      <c r="C522" s="1"/>
      <c r="D522" s="1"/>
      <c r="E522" s="1"/>
      <c r="F522" s="1"/>
    </row>
    <row r="523" ht="15.75" customHeight="1">
      <c r="A523" s="1"/>
      <c r="B523" s="1"/>
      <c r="C523" s="1"/>
      <c r="D523" s="1"/>
      <c r="E523" s="1"/>
      <c r="F523" s="1"/>
    </row>
    <row r="524" ht="15.75" customHeight="1">
      <c r="A524" s="1"/>
      <c r="B524" s="1"/>
      <c r="C524" s="1"/>
      <c r="D524" s="1"/>
      <c r="E524" s="1"/>
      <c r="F524" s="1"/>
    </row>
    <row r="525" ht="15.75" customHeight="1">
      <c r="A525" s="1"/>
      <c r="B525" s="1"/>
      <c r="C525" s="1"/>
      <c r="D525" s="1"/>
      <c r="E525" s="1"/>
      <c r="F525" s="1"/>
    </row>
    <row r="526" ht="15.75" customHeight="1">
      <c r="A526" s="1"/>
      <c r="B526" s="1"/>
      <c r="C526" s="1"/>
      <c r="D526" s="1"/>
      <c r="E526" s="1"/>
      <c r="F526" s="1"/>
    </row>
    <row r="527" ht="15.75" customHeight="1">
      <c r="A527" s="1"/>
      <c r="B527" s="1"/>
      <c r="C527" s="1"/>
      <c r="D527" s="1"/>
      <c r="E527" s="1"/>
      <c r="F527" s="1"/>
    </row>
    <row r="528" ht="15.75" customHeight="1">
      <c r="A528" s="1"/>
      <c r="B528" s="1"/>
      <c r="C528" s="1"/>
      <c r="D528" s="1"/>
      <c r="E528" s="1"/>
      <c r="F528" s="1"/>
    </row>
    <row r="529" ht="15.75" customHeight="1">
      <c r="A529" s="1"/>
      <c r="B529" s="1"/>
      <c r="C529" s="1"/>
      <c r="D529" s="1"/>
      <c r="E529" s="1"/>
      <c r="F529" s="1"/>
    </row>
    <row r="530" ht="15.75" customHeight="1">
      <c r="A530" s="1"/>
      <c r="B530" s="1"/>
      <c r="C530" s="1"/>
      <c r="D530" s="1"/>
      <c r="E530" s="1"/>
      <c r="F530" s="1"/>
    </row>
    <row r="531" ht="15.75" customHeight="1">
      <c r="A531" s="1"/>
      <c r="B531" s="1"/>
      <c r="C531" s="1"/>
      <c r="D531" s="1"/>
      <c r="E531" s="1"/>
      <c r="F531" s="1"/>
    </row>
    <row r="532" ht="15.75" customHeight="1">
      <c r="A532" s="1"/>
      <c r="B532" s="1"/>
      <c r="C532" s="1"/>
      <c r="D532" s="1"/>
      <c r="E532" s="1"/>
      <c r="F532" s="1"/>
    </row>
    <row r="533" ht="15.75" customHeight="1">
      <c r="A533" s="1"/>
      <c r="B533" s="1"/>
      <c r="C533" s="1"/>
      <c r="D533" s="1"/>
      <c r="E533" s="1"/>
      <c r="F533" s="1"/>
    </row>
    <row r="534" ht="15.75" customHeight="1">
      <c r="A534" s="1"/>
      <c r="B534" s="1"/>
      <c r="C534" s="1"/>
      <c r="D534" s="1"/>
      <c r="E534" s="1"/>
      <c r="F534" s="1"/>
    </row>
    <row r="535" ht="15.75" customHeight="1">
      <c r="A535" s="1"/>
      <c r="B535" s="1"/>
      <c r="C535" s="1"/>
      <c r="D535" s="1"/>
      <c r="E535" s="1"/>
      <c r="F535" s="1"/>
    </row>
    <row r="536" ht="15.75" customHeight="1">
      <c r="A536" s="1"/>
      <c r="B536" s="1"/>
      <c r="C536" s="1"/>
      <c r="D536" s="1"/>
      <c r="E536" s="1"/>
      <c r="F536" s="1"/>
    </row>
    <row r="537" ht="15.75" customHeight="1">
      <c r="A537" s="1"/>
      <c r="B537" s="1"/>
      <c r="C537" s="1"/>
      <c r="D537" s="1"/>
      <c r="E537" s="1"/>
      <c r="F537" s="1"/>
    </row>
    <row r="538" ht="15.75" customHeight="1">
      <c r="A538" s="1"/>
      <c r="B538" s="1"/>
      <c r="C538" s="1"/>
      <c r="D538" s="1"/>
      <c r="E538" s="1"/>
      <c r="F538" s="1"/>
    </row>
    <row r="539" ht="15.75" customHeight="1">
      <c r="A539" s="1"/>
      <c r="B539" s="1"/>
      <c r="C539" s="1"/>
      <c r="D539" s="1"/>
      <c r="E539" s="1"/>
      <c r="F539" s="1"/>
    </row>
    <row r="540" ht="15.75" customHeight="1">
      <c r="A540" s="1"/>
      <c r="B540" s="1"/>
      <c r="C540" s="1"/>
      <c r="D540" s="1"/>
      <c r="E540" s="1"/>
      <c r="F540" s="1"/>
    </row>
    <row r="541" ht="15.75" customHeight="1">
      <c r="A541" s="1"/>
      <c r="B541" s="1"/>
      <c r="C541" s="1"/>
      <c r="D541" s="1"/>
      <c r="E541" s="1"/>
      <c r="F541" s="1"/>
    </row>
    <row r="542" ht="15.75" customHeight="1">
      <c r="A542" s="1"/>
      <c r="B542" s="1"/>
      <c r="C542" s="1"/>
      <c r="D542" s="1"/>
      <c r="E542" s="1"/>
      <c r="F542" s="1"/>
    </row>
    <row r="543" ht="15.75" customHeight="1">
      <c r="A543" s="1"/>
      <c r="B543" s="1"/>
      <c r="C543" s="1"/>
      <c r="D543" s="1"/>
      <c r="E543" s="1"/>
      <c r="F543" s="1"/>
    </row>
    <row r="544" ht="15.75" customHeight="1">
      <c r="A544" s="1"/>
      <c r="B544" s="1"/>
      <c r="C544" s="1"/>
      <c r="D544" s="1"/>
      <c r="E544" s="1"/>
      <c r="F544" s="1"/>
    </row>
    <row r="545" ht="15.75" customHeight="1">
      <c r="A545" s="1"/>
      <c r="B545" s="1"/>
      <c r="C545" s="1"/>
      <c r="D545" s="1"/>
      <c r="E545" s="1"/>
      <c r="F545" s="1"/>
    </row>
    <row r="546" ht="15.75" customHeight="1">
      <c r="A546" s="1"/>
      <c r="B546" s="1"/>
      <c r="C546" s="1"/>
      <c r="D546" s="1"/>
      <c r="E546" s="1"/>
      <c r="F546" s="1"/>
    </row>
    <row r="547" ht="15.75" customHeight="1">
      <c r="A547" s="1"/>
      <c r="B547" s="1"/>
      <c r="C547" s="1"/>
      <c r="D547" s="1"/>
      <c r="E547" s="1"/>
      <c r="F547" s="1"/>
    </row>
    <row r="548" ht="15.75" customHeight="1">
      <c r="A548" s="1"/>
      <c r="B548" s="1"/>
      <c r="C548" s="1"/>
      <c r="D548" s="1"/>
      <c r="E548" s="1"/>
      <c r="F548" s="1"/>
    </row>
    <row r="549" ht="15.75" customHeight="1">
      <c r="A549" s="1"/>
      <c r="B549" s="1"/>
      <c r="C549" s="1"/>
      <c r="D549" s="1"/>
      <c r="E549" s="1"/>
      <c r="F549" s="1"/>
    </row>
    <row r="550" ht="15.75" customHeight="1">
      <c r="A550" s="1"/>
      <c r="B550" s="1"/>
      <c r="C550" s="1"/>
      <c r="D550" s="1"/>
      <c r="E550" s="1"/>
      <c r="F550" s="1"/>
    </row>
    <row r="551" ht="15.75" customHeight="1">
      <c r="A551" s="1"/>
      <c r="B551" s="1"/>
      <c r="C551" s="1"/>
      <c r="D551" s="1"/>
      <c r="E551" s="1"/>
      <c r="F551" s="1"/>
    </row>
    <row r="552" ht="15.75" customHeight="1">
      <c r="A552" s="1"/>
      <c r="B552" s="1"/>
      <c r="C552" s="1"/>
      <c r="D552" s="1"/>
      <c r="E552" s="1"/>
      <c r="F552" s="1"/>
    </row>
    <row r="553" ht="15.75" customHeight="1">
      <c r="A553" s="1"/>
      <c r="B553" s="1"/>
      <c r="C553" s="1"/>
      <c r="D553" s="1"/>
      <c r="E553" s="1"/>
      <c r="F553" s="1"/>
    </row>
    <row r="554" ht="15.75" customHeight="1">
      <c r="A554" s="1"/>
      <c r="B554" s="1"/>
      <c r="C554" s="1"/>
      <c r="D554" s="1"/>
      <c r="E554" s="1"/>
      <c r="F554" s="1"/>
    </row>
    <row r="555" ht="15.75" customHeight="1">
      <c r="A555" s="1"/>
      <c r="B555" s="1"/>
      <c r="C555" s="1"/>
      <c r="D555" s="1"/>
      <c r="E555" s="1"/>
      <c r="F555" s="1"/>
    </row>
    <row r="556" ht="15.75" customHeight="1">
      <c r="A556" s="1"/>
      <c r="B556" s="1"/>
      <c r="C556" s="1"/>
      <c r="D556" s="1"/>
      <c r="E556" s="1"/>
      <c r="F556" s="1"/>
    </row>
    <row r="557" ht="15.75" customHeight="1">
      <c r="A557" s="1"/>
      <c r="B557" s="1"/>
      <c r="C557" s="1"/>
      <c r="D557" s="1"/>
      <c r="E557" s="1"/>
      <c r="F557" s="1"/>
    </row>
    <row r="558" ht="15.75" customHeight="1">
      <c r="A558" s="1"/>
      <c r="B558" s="1"/>
      <c r="C558" s="1"/>
      <c r="D558" s="1"/>
      <c r="E558" s="1"/>
      <c r="F558" s="1"/>
    </row>
    <row r="559" ht="15.75" customHeight="1">
      <c r="A559" s="1"/>
      <c r="B559" s="1"/>
      <c r="C559" s="1"/>
      <c r="D559" s="1"/>
      <c r="E559" s="1"/>
      <c r="F559" s="1"/>
    </row>
    <row r="560" ht="15.75" customHeight="1">
      <c r="A560" s="1"/>
      <c r="B560" s="1"/>
      <c r="C560" s="1"/>
      <c r="D560" s="1"/>
      <c r="E560" s="1"/>
      <c r="F560" s="1"/>
    </row>
    <row r="561" ht="15.75" customHeight="1">
      <c r="A561" s="1"/>
      <c r="B561" s="1"/>
      <c r="C561" s="1"/>
      <c r="D561" s="1"/>
      <c r="E561" s="1"/>
      <c r="F561" s="1"/>
    </row>
    <row r="562" ht="15.75" customHeight="1">
      <c r="A562" s="1"/>
      <c r="B562" s="1"/>
      <c r="C562" s="1"/>
      <c r="D562" s="1"/>
      <c r="E562" s="1"/>
      <c r="F562" s="1"/>
    </row>
    <row r="563" ht="15.75" customHeight="1">
      <c r="A563" s="1"/>
      <c r="B563" s="1"/>
      <c r="C563" s="1"/>
      <c r="D563" s="1"/>
      <c r="E563" s="1"/>
      <c r="F563" s="1"/>
    </row>
    <row r="564" ht="15.75" customHeight="1">
      <c r="A564" s="1"/>
      <c r="B564" s="1"/>
      <c r="C564" s="1"/>
      <c r="D564" s="1"/>
      <c r="E564" s="1"/>
      <c r="F564" s="1"/>
    </row>
    <row r="565" ht="15.75" customHeight="1">
      <c r="A565" s="1"/>
      <c r="B565" s="1"/>
      <c r="C565" s="1"/>
      <c r="D565" s="1"/>
      <c r="E565" s="1"/>
      <c r="F565" s="1"/>
    </row>
    <row r="566" ht="15.75" customHeight="1">
      <c r="A566" s="1"/>
      <c r="B566" s="1"/>
      <c r="C566" s="1"/>
      <c r="D566" s="1"/>
      <c r="E566" s="1"/>
      <c r="F566" s="1"/>
    </row>
    <row r="567" ht="15.75" customHeight="1">
      <c r="A567" s="1"/>
      <c r="B567" s="1"/>
      <c r="C567" s="1"/>
      <c r="D567" s="1"/>
      <c r="E567" s="1"/>
      <c r="F567" s="1"/>
    </row>
    <row r="568" ht="15.75" customHeight="1">
      <c r="A568" s="1"/>
      <c r="B568" s="1"/>
      <c r="C568" s="1"/>
      <c r="D568" s="1"/>
      <c r="E568" s="1"/>
      <c r="F568" s="1"/>
    </row>
    <row r="569" ht="15.75" customHeight="1">
      <c r="A569" s="1"/>
      <c r="B569" s="1"/>
      <c r="C569" s="1"/>
      <c r="D569" s="1"/>
      <c r="E569" s="1"/>
      <c r="F569" s="1"/>
    </row>
    <row r="570" ht="15.75" customHeight="1">
      <c r="A570" s="1"/>
      <c r="B570" s="1"/>
      <c r="C570" s="1"/>
      <c r="D570" s="1"/>
      <c r="E570" s="1"/>
      <c r="F570" s="1"/>
    </row>
    <row r="571" ht="15.75" customHeight="1">
      <c r="A571" s="1"/>
      <c r="B571" s="1"/>
      <c r="C571" s="1"/>
      <c r="D571" s="1"/>
      <c r="E571" s="1"/>
      <c r="F571" s="1"/>
    </row>
    <row r="572" ht="15.75" customHeight="1">
      <c r="A572" s="1"/>
      <c r="B572" s="1"/>
      <c r="C572" s="1"/>
      <c r="D572" s="1"/>
      <c r="E572" s="1"/>
      <c r="F572" s="1"/>
    </row>
    <row r="573" ht="15.75" customHeight="1">
      <c r="A573" s="1"/>
      <c r="B573" s="1"/>
      <c r="C573" s="1"/>
      <c r="D573" s="1"/>
      <c r="E573" s="1"/>
      <c r="F573" s="1"/>
    </row>
    <row r="574" ht="15.75" customHeight="1">
      <c r="A574" s="1"/>
      <c r="B574" s="1"/>
      <c r="C574" s="1"/>
      <c r="D574" s="1"/>
      <c r="E574" s="1"/>
      <c r="F574" s="1"/>
    </row>
    <row r="575" ht="15.75" customHeight="1">
      <c r="A575" s="1"/>
      <c r="B575" s="1"/>
      <c r="C575" s="1"/>
      <c r="D575" s="1"/>
      <c r="E575" s="1"/>
      <c r="F575" s="1"/>
    </row>
    <row r="576" ht="15.75" customHeight="1">
      <c r="A576" s="1"/>
      <c r="B576" s="1"/>
      <c r="C576" s="1"/>
      <c r="D576" s="1"/>
      <c r="E576" s="1"/>
      <c r="F576" s="1"/>
    </row>
    <row r="577" ht="15.75" customHeight="1">
      <c r="A577" s="1"/>
      <c r="B577" s="1"/>
      <c r="C577" s="1"/>
      <c r="D577" s="1"/>
      <c r="E577" s="1"/>
      <c r="F577" s="1"/>
    </row>
    <row r="578" ht="15.75" customHeight="1">
      <c r="A578" s="1"/>
      <c r="B578" s="1"/>
      <c r="C578" s="1"/>
      <c r="D578" s="1"/>
      <c r="E578" s="1"/>
      <c r="F578" s="1"/>
    </row>
    <row r="579" ht="15.75" customHeight="1">
      <c r="A579" s="1"/>
      <c r="B579" s="1"/>
      <c r="C579" s="1"/>
      <c r="D579" s="1"/>
      <c r="E579" s="1"/>
      <c r="F579" s="1"/>
    </row>
    <row r="580" ht="15.75" customHeight="1">
      <c r="A580" s="1"/>
      <c r="B580" s="1"/>
      <c r="C580" s="1"/>
      <c r="D580" s="1"/>
      <c r="E580" s="1"/>
      <c r="F580" s="1"/>
    </row>
    <row r="581" ht="15.75" customHeight="1">
      <c r="A581" s="1"/>
      <c r="B581" s="1"/>
      <c r="C581" s="1"/>
      <c r="D581" s="1"/>
      <c r="E581" s="1"/>
      <c r="F581" s="1"/>
    </row>
    <row r="582" ht="15.75" customHeight="1">
      <c r="A582" s="1"/>
      <c r="B582" s="1"/>
      <c r="C582" s="1"/>
      <c r="D582" s="1"/>
      <c r="E582" s="1"/>
      <c r="F582" s="1"/>
    </row>
    <row r="583" ht="15.75" customHeight="1">
      <c r="A583" s="1"/>
      <c r="B583" s="1"/>
      <c r="C583" s="1"/>
      <c r="D583" s="1"/>
      <c r="E583" s="1"/>
      <c r="F583" s="1"/>
    </row>
    <row r="584" ht="15.75" customHeight="1">
      <c r="A584" s="1"/>
      <c r="B584" s="1"/>
      <c r="C584" s="1"/>
      <c r="D584" s="1"/>
      <c r="E584" s="1"/>
      <c r="F584" s="1"/>
    </row>
    <row r="585" ht="15.75" customHeight="1">
      <c r="A585" s="1"/>
      <c r="B585" s="1"/>
      <c r="C585" s="1"/>
      <c r="D585" s="1"/>
      <c r="E585" s="1"/>
      <c r="F585" s="1"/>
    </row>
    <row r="586" ht="15.75" customHeight="1">
      <c r="A586" s="1"/>
      <c r="B586" s="1"/>
      <c r="C586" s="1"/>
      <c r="D586" s="1"/>
      <c r="E586" s="1"/>
      <c r="F586" s="1"/>
    </row>
    <row r="587" ht="15.75" customHeight="1">
      <c r="A587" s="1"/>
      <c r="B587" s="1"/>
      <c r="C587" s="1"/>
      <c r="D587" s="1"/>
      <c r="E587" s="1"/>
      <c r="F587" s="1"/>
    </row>
    <row r="588" ht="15.75" customHeight="1">
      <c r="A588" s="1"/>
      <c r="B588" s="1"/>
      <c r="C588" s="1"/>
      <c r="D588" s="1"/>
      <c r="E588" s="1"/>
      <c r="F588" s="1"/>
    </row>
    <row r="589" ht="15.75" customHeight="1">
      <c r="A589" s="1"/>
      <c r="B589" s="1"/>
      <c r="C589" s="1"/>
      <c r="D589" s="1"/>
      <c r="E589" s="1"/>
      <c r="F589" s="1"/>
    </row>
    <row r="590" ht="15.75" customHeight="1">
      <c r="A590" s="1"/>
      <c r="B590" s="1"/>
      <c r="C590" s="1"/>
      <c r="D590" s="1"/>
      <c r="E590" s="1"/>
      <c r="F590" s="1"/>
    </row>
    <row r="591" ht="15.75" customHeight="1">
      <c r="A591" s="1"/>
      <c r="B591" s="1"/>
      <c r="C591" s="1"/>
      <c r="D591" s="1"/>
      <c r="E591" s="1"/>
      <c r="F591" s="1"/>
    </row>
    <row r="592" ht="15.75" customHeight="1">
      <c r="A592" s="1"/>
      <c r="B592" s="1"/>
      <c r="C592" s="1"/>
      <c r="D592" s="1"/>
      <c r="E592" s="1"/>
      <c r="F592" s="1"/>
    </row>
    <row r="593" ht="15.75" customHeight="1">
      <c r="A593" s="1"/>
      <c r="B593" s="1"/>
      <c r="C593" s="1"/>
      <c r="D593" s="1"/>
      <c r="E593" s="1"/>
      <c r="F593" s="1"/>
    </row>
    <row r="594" ht="15.75" customHeight="1">
      <c r="A594" s="1"/>
      <c r="B594" s="1"/>
      <c r="C594" s="1"/>
      <c r="D594" s="1"/>
      <c r="E594" s="1"/>
      <c r="F594" s="1"/>
    </row>
    <row r="595" ht="15.75" customHeight="1">
      <c r="A595" s="1"/>
      <c r="B595" s="1"/>
      <c r="C595" s="1"/>
      <c r="D595" s="1"/>
      <c r="E595" s="1"/>
      <c r="F595" s="1"/>
    </row>
    <row r="596" ht="15.75" customHeight="1">
      <c r="A596" s="1"/>
      <c r="B596" s="1"/>
      <c r="C596" s="1"/>
      <c r="D596" s="1"/>
      <c r="E596" s="1"/>
      <c r="F596" s="1"/>
    </row>
    <row r="597" ht="15.75" customHeight="1">
      <c r="A597" s="1"/>
      <c r="B597" s="1"/>
      <c r="C597" s="1"/>
      <c r="D597" s="1"/>
      <c r="E597" s="1"/>
      <c r="F597" s="1"/>
    </row>
    <row r="598" ht="15.75" customHeight="1">
      <c r="A598" s="1"/>
      <c r="B598" s="1"/>
      <c r="C598" s="1"/>
      <c r="D598" s="1"/>
      <c r="E598" s="1"/>
      <c r="F598" s="1"/>
    </row>
    <row r="599" ht="15.75" customHeight="1">
      <c r="A599" s="1"/>
      <c r="B599" s="1"/>
      <c r="C599" s="1"/>
      <c r="D599" s="1"/>
      <c r="E599" s="1"/>
      <c r="F599" s="1"/>
    </row>
    <row r="600" ht="15.75" customHeight="1">
      <c r="A600" s="1"/>
      <c r="B600" s="1"/>
      <c r="C600" s="1"/>
      <c r="D600" s="1"/>
      <c r="E600" s="1"/>
      <c r="F600" s="1"/>
    </row>
    <row r="601" ht="15.75" customHeight="1">
      <c r="A601" s="1"/>
      <c r="B601" s="1"/>
      <c r="C601" s="1"/>
      <c r="D601" s="1"/>
      <c r="E601" s="1"/>
      <c r="F601" s="1"/>
    </row>
    <row r="602" ht="15.75" customHeight="1">
      <c r="A602" s="1"/>
      <c r="B602" s="1"/>
      <c r="C602" s="1"/>
      <c r="D602" s="1"/>
      <c r="E602" s="1"/>
      <c r="F602" s="1"/>
    </row>
    <row r="603" ht="15.75" customHeight="1">
      <c r="A603" s="1"/>
      <c r="B603" s="1"/>
      <c r="C603" s="1"/>
      <c r="D603" s="1"/>
      <c r="E603" s="1"/>
      <c r="F603" s="1"/>
    </row>
    <row r="604" ht="15.75" customHeight="1">
      <c r="A604" s="1"/>
      <c r="B604" s="1"/>
      <c r="C604" s="1"/>
      <c r="D604" s="1"/>
      <c r="E604" s="1"/>
      <c r="F604" s="1"/>
    </row>
    <row r="605" ht="15.75" customHeight="1">
      <c r="A605" s="1"/>
      <c r="B605" s="1"/>
      <c r="C605" s="1"/>
      <c r="D605" s="1"/>
      <c r="E605" s="1"/>
      <c r="F605" s="1"/>
    </row>
    <row r="606" ht="15.75" customHeight="1">
      <c r="A606" s="1"/>
      <c r="B606" s="1"/>
      <c r="C606" s="1"/>
      <c r="D606" s="1"/>
      <c r="E606" s="1"/>
      <c r="F606" s="1"/>
    </row>
    <row r="607" ht="15.75" customHeight="1">
      <c r="A607" s="1"/>
      <c r="B607" s="1"/>
      <c r="C607" s="1"/>
      <c r="D607" s="1"/>
      <c r="E607" s="1"/>
      <c r="F607" s="1"/>
    </row>
    <row r="608" ht="15.75" customHeight="1">
      <c r="A608" s="1"/>
      <c r="B608" s="1"/>
      <c r="C608" s="1"/>
      <c r="D608" s="1"/>
      <c r="E608" s="1"/>
      <c r="F608" s="1"/>
    </row>
    <row r="609" ht="15.75" customHeight="1">
      <c r="A609" s="1"/>
      <c r="B609" s="1"/>
      <c r="C609" s="1"/>
      <c r="D609" s="1"/>
      <c r="E609" s="1"/>
      <c r="F609" s="1"/>
    </row>
    <row r="610" ht="15.75" customHeight="1">
      <c r="A610" s="1"/>
      <c r="B610" s="1"/>
      <c r="C610" s="1"/>
      <c r="D610" s="1"/>
      <c r="E610" s="1"/>
      <c r="F610" s="1"/>
    </row>
    <row r="611" ht="15.75" customHeight="1">
      <c r="A611" s="1"/>
      <c r="B611" s="1"/>
      <c r="C611" s="1"/>
      <c r="D611" s="1"/>
      <c r="E611" s="1"/>
      <c r="F611" s="1"/>
    </row>
    <row r="612" ht="15.75" customHeight="1">
      <c r="A612" s="1"/>
      <c r="B612" s="1"/>
      <c r="C612" s="1"/>
      <c r="D612" s="1"/>
      <c r="E612" s="1"/>
      <c r="F612" s="1"/>
    </row>
    <row r="613" ht="15.75" customHeight="1">
      <c r="A613" s="1"/>
      <c r="B613" s="1"/>
      <c r="C613" s="1"/>
      <c r="D613" s="1"/>
      <c r="E613" s="1"/>
      <c r="F613" s="1"/>
    </row>
    <row r="614" ht="15.75" customHeight="1">
      <c r="A614" s="1"/>
      <c r="B614" s="1"/>
      <c r="C614" s="1"/>
      <c r="D614" s="1"/>
      <c r="E614" s="1"/>
      <c r="F614" s="1"/>
    </row>
    <row r="615" ht="15.75" customHeight="1">
      <c r="A615" s="1"/>
      <c r="B615" s="1"/>
      <c r="C615" s="1"/>
      <c r="D615" s="1"/>
      <c r="E615" s="1"/>
      <c r="F615" s="1"/>
    </row>
    <row r="616" ht="15.75" customHeight="1">
      <c r="A616" s="1"/>
      <c r="B616" s="1"/>
      <c r="C616" s="1"/>
      <c r="D616" s="1"/>
      <c r="E616" s="1"/>
      <c r="F616" s="1"/>
    </row>
    <row r="617" ht="15.75" customHeight="1">
      <c r="A617" s="1"/>
      <c r="B617" s="1"/>
      <c r="C617" s="1"/>
      <c r="D617" s="1"/>
      <c r="E617" s="1"/>
      <c r="F617" s="1"/>
    </row>
    <row r="618" ht="15.75" customHeight="1">
      <c r="A618" s="1"/>
      <c r="B618" s="1"/>
      <c r="C618" s="1"/>
      <c r="D618" s="1"/>
      <c r="E618" s="1"/>
      <c r="F618" s="1"/>
    </row>
    <row r="619" ht="15.75" customHeight="1">
      <c r="A619" s="1"/>
      <c r="B619" s="1"/>
      <c r="C619" s="1"/>
      <c r="D619" s="1"/>
      <c r="E619" s="1"/>
      <c r="F619" s="1"/>
    </row>
    <row r="620" ht="15.75" customHeight="1">
      <c r="A620" s="1"/>
      <c r="B620" s="1"/>
      <c r="C620" s="1"/>
      <c r="D620" s="1"/>
      <c r="E620" s="1"/>
      <c r="F620" s="1"/>
    </row>
    <row r="621" ht="15.75" customHeight="1">
      <c r="A621" s="1"/>
      <c r="B621" s="1"/>
      <c r="C621" s="1"/>
      <c r="D621" s="1"/>
      <c r="E621" s="1"/>
      <c r="F621" s="1"/>
    </row>
    <row r="622" ht="15.75" customHeight="1">
      <c r="A622" s="1"/>
      <c r="B622" s="1"/>
      <c r="C622" s="1"/>
      <c r="D622" s="1"/>
      <c r="E622" s="1"/>
      <c r="F622" s="1"/>
    </row>
    <row r="623" ht="15.75" customHeight="1">
      <c r="A623" s="1"/>
      <c r="B623" s="1"/>
      <c r="C623" s="1"/>
      <c r="D623" s="1"/>
      <c r="E623" s="1"/>
      <c r="F623" s="1"/>
    </row>
    <row r="624" ht="15.75" customHeight="1">
      <c r="A624" s="1"/>
      <c r="B624" s="1"/>
      <c r="C624" s="1"/>
      <c r="D624" s="1"/>
      <c r="E624" s="1"/>
      <c r="F624" s="1"/>
    </row>
    <row r="625" ht="15.75" customHeight="1">
      <c r="A625" s="1"/>
      <c r="B625" s="1"/>
      <c r="C625" s="1"/>
      <c r="D625" s="1"/>
      <c r="E625" s="1"/>
      <c r="F625" s="1"/>
    </row>
    <row r="626" ht="15.75" customHeight="1">
      <c r="A626" s="1"/>
      <c r="B626" s="1"/>
      <c r="C626" s="1"/>
      <c r="D626" s="1"/>
      <c r="E626" s="1"/>
      <c r="F626" s="1"/>
    </row>
    <row r="627" ht="15.75" customHeight="1">
      <c r="A627" s="1"/>
      <c r="B627" s="1"/>
      <c r="C627" s="1"/>
      <c r="D627" s="1"/>
      <c r="E627" s="1"/>
      <c r="F627" s="1"/>
    </row>
    <row r="628" ht="15.75" customHeight="1">
      <c r="A628" s="1"/>
      <c r="B628" s="1"/>
      <c r="C628" s="1"/>
      <c r="D628" s="1"/>
      <c r="E628" s="1"/>
      <c r="F628" s="1"/>
    </row>
    <row r="629" ht="15.75" customHeight="1">
      <c r="A629" s="1"/>
      <c r="B629" s="1"/>
      <c r="C629" s="1"/>
      <c r="D629" s="1"/>
      <c r="E629" s="1"/>
      <c r="F629" s="1"/>
    </row>
    <row r="630" ht="15.75" customHeight="1">
      <c r="A630" s="1"/>
      <c r="B630" s="1"/>
      <c r="C630" s="1"/>
      <c r="D630" s="1"/>
      <c r="E630" s="1"/>
      <c r="F630" s="1"/>
    </row>
    <row r="631" ht="15.75" customHeight="1">
      <c r="A631" s="1"/>
      <c r="B631" s="1"/>
      <c r="C631" s="1"/>
      <c r="D631" s="1"/>
      <c r="E631" s="1"/>
      <c r="F631" s="1"/>
    </row>
    <row r="632" ht="15.75" customHeight="1">
      <c r="A632" s="1"/>
      <c r="B632" s="1"/>
      <c r="C632" s="1"/>
      <c r="D632" s="1"/>
      <c r="E632" s="1"/>
      <c r="F632" s="1"/>
    </row>
    <row r="633" ht="15.75" customHeight="1">
      <c r="A633" s="1"/>
      <c r="B633" s="1"/>
      <c r="C633" s="1"/>
      <c r="D633" s="1"/>
      <c r="E633" s="1"/>
      <c r="F633" s="1"/>
    </row>
    <row r="634" ht="15.75" customHeight="1">
      <c r="A634" s="1"/>
      <c r="B634" s="1"/>
      <c r="C634" s="1"/>
      <c r="D634" s="1"/>
      <c r="E634" s="1"/>
      <c r="F634" s="1"/>
    </row>
    <row r="635" ht="15.75" customHeight="1">
      <c r="A635" s="1"/>
      <c r="B635" s="1"/>
      <c r="C635" s="1"/>
      <c r="D635" s="1"/>
      <c r="E635" s="1"/>
      <c r="F635" s="1"/>
    </row>
    <row r="636" ht="15.75" customHeight="1">
      <c r="A636" s="1"/>
      <c r="B636" s="1"/>
      <c r="C636" s="1"/>
      <c r="D636" s="1"/>
      <c r="E636" s="1"/>
      <c r="F636" s="1"/>
    </row>
    <row r="637" ht="15.75" customHeight="1">
      <c r="A637" s="1"/>
      <c r="B637" s="1"/>
      <c r="C637" s="1"/>
      <c r="D637" s="1"/>
      <c r="E637" s="1"/>
      <c r="F637" s="1"/>
    </row>
    <row r="638" ht="15.75" customHeight="1">
      <c r="A638" s="1"/>
      <c r="B638" s="1"/>
      <c r="C638" s="1"/>
      <c r="D638" s="1"/>
      <c r="E638" s="1"/>
      <c r="F638" s="1"/>
    </row>
    <row r="639" ht="15.75" customHeight="1">
      <c r="A639" s="1"/>
      <c r="B639" s="1"/>
      <c r="C639" s="1"/>
      <c r="D639" s="1"/>
      <c r="E639" s="1"/>
      <c r="F639" s="1"/>
    </row>
    <row r="640" ht="15.75" customHeight="1">
      <c r="A640" s="1"/>
      <c r="B640" s="1"/>
      <c r="C640" s="1"/>
      <c r="D640" s="1"/>
      <c r="E640" s="1"/>
      <c r="F640" s="1"/>
    </row>
    <row r="641" ht="15.75" customHeight="1">
      <c r="A641" s="1"/>
      <c r="B641" s="1"/>
      <c r="C641" s="1"/>
      <c r="D641" s="1"/>
      <c r="E641" s="1"/>
      <c r="F641" s="1"/>
    </row>
    <row r="642" ht="15.75" customHeight="1">
      <c r="A642" s="1"/>
      <c r="B642" s="1"/>
      <c r="C642" s="1"/>
      <c r="D642" s="1"/>
      <c r="E642" s="1"/>
      <c r="F642" s="1"/>
    </row>
    <row r="643" ht="15.75" customHeight="1">
      <c r="A643" s="1"/>
      <c r="B643" s="1"/>
      <c r="C643" s="1"/>
      <c r="D643" s="1"/>
      <c r="E643" s="1"/>
      <c r="F643" s="1"/>
    </row>
    <row r="644" ht="15.75" customHeight="1">
      <c r="A644" s="1"/>
      <c r="B644" s="1"/>
      <c r="C644" s="1"/>
      <c r="D644" s="1"/>
      <c r="E644" s="1"/>
      <c r="F644" s="1"/>
    </row>
    <row r="645" ht="15.75" customHeight="1">
      <c r="A645" s="1"/>
      <c r="B645" s="1"/>
      <c r="C645" s="1"/>
      <c r="D645" s="1"/>
      <c r="E645" s="1"/>
      <c r="F645" s="1"/>
    </row>
    <row r="646" ht="15.75" customHeight="1">
      <c r="A646" s="1"/>
      <c r="B646" s="1"/>
      <c r="C646" s="1"/>
      <c r="D646" s="1"/>
      <c r="E646" s="1"/>
      <c r="F646" s="1"/>
    </row>
    <row r="647" ht="15.75" customHeight="1">
      <c r="A647" s="1"/>
      <c r="B647" s="1"/>
      <c r="C647" s="1"/>
      <c r="D647" s="1"/>
      <c r="E647" s="1"/>
      <c r="F647" s="1"/>
    </row>
    <row r="648" ht="15.75" customHeight="1">
      <c r="A648" s="1"/>
      <c r="B648" s="1"/>
      <c r="C648" s="1"/>
      <c r="D648" s="1"/>
      <c r="E648" s="1"/>
      <c r="F648" s="1"/>
    </row>
    <row r="649" ht="15.75" customHeight="1">
      <c r="A649" s="1"/>
      <c r="B649" s="1"/>
      <c r="C649" s="1"/>
      <c r="D649" s="1"/>
      <c r="E649" s="1"/>
      <c r="F649" s="1"/>
    </row>
    <row r="650" ht="15.75" customHeight="1">
      <c r="A650" s="1"/>
      <c r="B650" s="1"/>
      <c r="C650" s="1"/>
      <c r="D650" s="1"/>
      <c r="E650" s="1"/>
      <c r="F650" s="1"/>
    </row>
    <row r="651" ht="15.75" customHeight="1">
      <c r="A651" s="1"/>
      <c r="B651" s="1"/>
      <c r="C651" s="1"/>
      <c r="D651" s="1"/>
      <c r="E651" s="1"/>
      <c r="F651" s="1"/>
    </row>
    <row r="652" ht="15.75" customHeight="1">
      <c r="A652" s="1"/>
      <c r="B652" s="1"/>
      <c r="C652" s="1"/>
      <c r="D652" s="1"/>
      <c r="E652" s="1"/>
      <c r="F652" s="1"/>
    </row>
    <row r="653" ht="15.75" customHeight="1">
      <c r="A653" s="1"/>
      <c r="B653" s="1"/>
      <c r="C653" s="1"/>
      <c r="D653" s="1"/>
      <c r="E653" s="1"/>
      <c r="F653" s="1"/>
    </row>
    <row r="654" ht="15.75" customHeight="1">
      <c r="A654" s="1"/>
      <c r="B654" s="1"/>
      <c r="C654" s="1"/>
      <c r="D654" s="1"/>
      <c r="E654" s="1"/>
      <c r="F654" s="1"/>
    </row>
    <row r="655" ht="15.75" customHeight="1">
      <c r="A655" s="1"/>
      <c r="B655" s="1"/>
      <c r="C655" s="1"/>
      <c r="D655" s="1"/>
      <c r="E655" s="1"/>
      <c r="F655" s="1"/>
    </row>
    <row r="656" ht="15.75" customHeight="1">
      <c r="A656" s="1"/>
      <c r="B656" s="1"/>
      <c r="C656" s="1"/>
      <c r="D656" s="1"/>
      <c r="E656" s="1"/>
      <c r="F656" s="1"/>
    </row>
    <row r="657" ht="15.75" customHeight="1">
      <c r="A657" s="1"/>
      <c r="B657" s="1"/>
      <c r="C657" s="1"/>
      <c r="D657" s="1"/>
      <c r="E657" s="1"/>
      <c r="F657" s="1"/>
    </row>
    <row r="658" ht="15.75" customHeight="1">
      <c r="A658" s="1"/>
      <c r="B658" s="1"/>
      <c r="C658" s="1"/>
      <c r="D658" s="1"/>
      <c r="E658" s="1"/>
      <c r="F658" s="1"/>
    </row>
    <row r="659" ht="15.75" customHeight="1">
      <c r="A659" s="1"/>
      <c r="B659" s="1"/>
      <c r="C659" s="1"/>
      <c r="D659" s="1"/>
      <c r="E659" s="1"/>
      <c r="F659" s="1"/>
    </row>
    <row r="660" ht="15.75" customHeight="1">
      <c r="A660" s="1"/>
      <c r="B660" s="1"/>
      <c r="C660" s="1"/>
      <c r="D660" s="1"/>
      <c r="E660" s="1"/>
      <c r="F660" s="1"/>
    </row>
    <row r="661" ht="15.75" customHeight="1">
      <c r="A661" s="1"/>
      <c r="B661" s="1"/>
      <c r="C661" s="1"/>
      <c r="D661" s="1"/>
      <c r="E661" s="1"/>
      <c r="F661" s="1"/>
    </row>
    <row r="662" ht="15.75" customHeight="1">
      <c r="A662" s="1"/>
      <c r="B662" s="1"/>
      <c r="C662" s="1"/>
      <c r="D662" s="1"/>
      <c r="E662" s="1"/>
      <c r="F662" s="1"/>
    </row>
    <row r="663" ht="15.75" customHeight="1">
      <c r="A663" s="1"/>
      <c r="B663" s="1"/>
      <c r="C663" s="1"/>
      <c r="D663" s="1"/>
      <c r="E663" s="1"/>
      <c r="F663" s="1"/>
    </row>
    <row r="664" ht="15.75" customHeight="1">
      <c r="A664" s="1"/>
      <c r="B664" s="1"/>
      <c r="C664" s="1"/>
      <c r="D664" s="1"/>
      <c r="E664" s="1"/>
      <c r="F664" s="1"/>
    </row>
    <row r="665" ht="15.75" customHeight="1">
      <c r="A665" s="1"/>
      <c r="B665" s="1"/>
      <c r="C665" s="1"/>
      <c r="D665" s="1"/>
      <c r="E665" s="1"/>
      <c r="F665" s="1"/>
    </row>
    <row r="666" ht="15.75" customHeight="1">
      <c r="A666" s="1"/>
      <c r="B666" s="1"/>
      <c r="C666" s="1"/>
      <c r="D666" s="1"/>
      <c r="E666" s="1"/>
      <c r="F666" s="1"/>
    </row>
    <row r="667" ht="15.75" customHeight="1">
      <c r="A667" s="1"/>
      <c r="B667" s="1"/>
      <c r="C667" s="1"/>
      <c r="D667" s="1"/>
      <c r="E667" s="1"/>
      <c r="F667" s="1"/>
    </row>
    <row r="668" ht="15.75" customHeight="1">
      <c r="A668" s="1"/>
      <c r="B668" s="1"/>
      <c r="C668" s="1"/>
      <c r="D668" s="1"/>
      <c r="E668" s="1"/>
      <c r="F668" s="1"/>
    </row>
    <row r="669" ht="15.75" customHeight="1">
      <c r="A669" s="1"/>
      <c r="B669" s="1"/>
      <c r="C669" s="1"/>
      <c r="D669" s="1"/>
      <c r="E669" s="1"/>
      <c r="F669" s="1"/>
    </row>
    <row r="670" ht="15.75" customHeight="1">
      <c r="A670" s="1"/>
      <c r="B670" s="1"/>
      <c r="C670" s="1"/>
      <c r="D670" s="1"/>
      <c r="E670" s="1"/>
      <c r="F670" s="1"/>
    </row>
    <row r="671" ht="15.75" customHeight="1">
      <c r="A671" s="1"/>
      <c r="B671" s="1"/>
      <c r="C671" s="1"/>
      <c r="D671" s="1"/>
      <c r="E671" s="1"/>
      <c r="F671" s="1"/>
    </row>
    <row r="672" ht="15.75" customHeight="1">
      <c r="A672" s="1"/>
      <c r="B672" s="1"/>
      <c r="C672" s="1"/>
      <c r="D672" s="1"/>
      <c r="E672" s="1"/>
      <c r="F672" s="1"/>
    </row>
    <row r="673" ht="15.75" customHeight="1">
      <c r="A673" s="1"/>
      <c r="B673" s="1"/>
      <c r="C673" s="1"/>
      <c r="D673" s="1"/>
      <c r="E673" s="1"/>
      <c r="F673" s="1"/>
    </row>
    <row r="674" ht="15.75" customHeight="1">
      <c r="A674" s="1"/>
      <c r="B674" s="1"/>
      <c r="C674" s="1"/>
      <c r="D674" s="1"/>
      <c r="E674" s="1"/>
      <c r="F674" s="1"/>
    </row>
    <row r="675" ht="15.75" customHeight="1">
      <c r="A675" s="1"/>
      <c r="B675" s="1"/>
      <c r="C675" s="1"/>
      <c r="D675" s="1"/>
      <c r="E675" s="1"/>
      <c r="F675" s="1"/>
    </row>
    <row r="676" ht="15.75" customHeight="1">
      <c r="A676" s="1"/>
      <c r="B676" s="1"/>
      <c r="C676" s="1"/>
      <c r="D676" s="1"/>
      <c r="E676" s="1"/>
      <c r="F676" s="1"/>
    </row>
    <row r="677" ht="15.75" customHeight="1">
      <c r="A677" s="1"/>
      <c r="B677" s="1"/>
      <c r="C677" s="1"/>
      <c r="D677" s="1"/>
      <c r="E677" s="1"/>
      <c r="F677" s="1"/>
    </row>
    <row r="678" ht="15.75" customHeight="1">
      <c r="A678" s="1"/>
      <c r="B678" s="1"/>
      <c r="C678" s="1"/>
      <c r="D678" s="1"/>
      <c r="E678" s="1"/>
      <c r="F678" s="1"/>
    </row>
    <row r="679" ht="15.75" customHeight="1">
      <c r="A679" s="1"/>
      <c r="B679" s="1"/>
      <c r="C679" s="1"/>
      <c r="D679" s="1"/>
      <c r="E679" s="1"/>
      <c r="F679" s="1"/>
    </row>
    <row r="680" ht="15.75" customHeight="1">
      <c r="A680" s="1"/>
      <c r="B680" s="1"/>
      <c r="C680" s="1"/>
      <c r="D680" s="1"/>
      <c r="E680" s="1"/>
      <c r="F680" s="1"/>
    </row>
    <row r="681" ht="15.75" customHeight="1">
      <c r="A681" s="1"/>
      <c r="B681" s="1"/>
      <c r="C681" s="1"/>
      <c r="D681" s="1"/>
      <c r="E681" s="1"/>
      <c r="F681" s="1"/>
    </row>
    <row r="682" ht="15.75" customHeight="1">
      <c r="A682" s="1"/>
      <c r="B682" s="1"/>
      <c r="C682" s="1"/>
      <c r="D682" s="1"/>
      <c r="E682" s="1"/>
      <c r="F682" s="1"/>
    </row>
    <row r="683" ht="15.75" customHeight="1">
      <c r="A683" s="1"/>
      <c r="B683" s="1"/>
      <c r="C683" s="1"/>
      <c r="D683" s="1"/>
      <c r="E683" s="1"/>
      <c r="F683" s="1"/>
    </row>
    <row r="684" ht="15.75" customHeight="1">
      <c r="A684" s="1"/>
      <c r="B684" s="1"/>
      <c r="C684" s="1"/>
      <c r="D684" s="1"/>
      <c r="E684" s="1"/>
      <c r="F684" s="1"/>
    </row>
    <row r="685" ht="15.75" customHeight="1">
      <c r="A685" s="1"/>
      <c r="B685" s="1"/>
      <c r="C685" s="1"/>
      <c r="D685" s="1"/>
      <c r="E685" s="1"/>
      <c r="F685" s="1"/>
    </row>
    <row r="686" ht="15.75" customHeight="1">
      <c r="A686" s="1"/>
      <c r="B686" s="1"/>
      <c r="C686" s="1"/>
      <c r="D686" s="1"/>
      <c r="E686" s="1"/>
      <c r="F686" s="1"/>
    </row>
    <row r="687" ht="15.75" customHeight="1">
      <c r="A687" s="1"/>
      <c r="B687" s="1"/>
      <c r="C687" s="1"/>
      <c r="D687" s="1"/>
      <c r="E687" s="1"/>
      <c r="F687" s="1"/>
    </row>
    <row r="688" ht="15.75" customHeight="1">
      <c r="A688" s="1"/>
      <c r="B688" s="1"/>
      <c r="C688" s="1"/>
      <c r="D688" s="1"/>
      <c r="E688" s="1"/>
      <c r="F688" s="1"/>
    </row>
    <row r="689" ht="15.75" customHeight="1">
      <c r="A689" s="1"/>
      <c r="B689" s="1"/>
      <c r="C689" s="1"/>
      <c r="D689" s="1"/>
      <c r="E689" s="1"/>
      <c r="F689" s="1"/>
    </row>
    <row r="690" ht="15.75" customHeight="1">
      <c r="A690" s="1"/>
      <c r="B690" s="1"/>
      <c r="C690" s="1"/>
      <c r="D690" s="1"/>
      <c r="E690" s="1"/>
      <c r="F690" s="1"/>
    </row>
    <row r="691" ht="15.75" customHeight="1">
      <c r="A691" s="1"/>
      <c r="B691" s="1"/>
      <c r="C691" s="1"/>
      <c r="D691" s="1"/>
      <c r="E691" s="1"/>
      <c r="F691" s="1"/>
    </row>
    <row r="692" ht="15.75" customHeight="1">
      <c r="A692" s="1"/>
      <c r="B692" s="1"/>
      <c r="C692" s="1"/>
      <c r="D692" s="1"/>
      <c r="E692" s="1"/>
      <c r="F692" s="1"/>
    </row>
    <row r="693" ht="15.75" customHeight="1">
      <c r="A693" s="1"/>
      <c r="B693" s="1"/>
      <c r="C693" s="1"/>
      <c r="D693" s="1"/>
      <c r="E693" s="1"/>
      <c r="F693" s="1"/>
    </row>
    <row r="694" ht="15.75" customHeight="1">
      <c r="A694" s="1"/>
      <c r="B694" s="1"/>
      <c r="C694" s="1"/>
      <c r="D694" s="1"/>
      <c r="E694" s="1"/>
      <c r="F694" s="1"/>
    </row>
    <row r="695" ht="15.75" customHeight="1">
      <c r="A695" s="1"/>
      <c r="B695" s="1"/>
      <c r="C695" s="1"/>
      <c r="D695" s="1"/>
      <c r="E695" s="1"/>
      <c r="F695" s="1"/>
    </row>
    <row r="696" ht="15.75" customHeight="1">
      <c r="A696" s="1"/>
      <c r="B696" s="1"/>
      <c r="C696" s="1"/>
      <c r="D696" s="1"/>
      <c r="E696" s="1"/>
      <c r="F696" s="1"/>
    </row>
    <row r="697" ht="15.75" customHeight="1">
      <c r="A697" s="1"/>
      <c r="B697" s="1"/>
      <c r="C697" s="1"/>
      <c r="D697" s="1"/>
      <c r="E697" s="1"/>
      <c r="F697" s="1"/>
    </row>
    <row r="698" ht="15.75" customHeight="1">
      <c r="A698" s="1"/>
      <c r="B698" s="1"/>
      <c r="C698" s="1"/>
      <c r="D698" s="1"/>
      <c r="E698" s="1"/>
      <c r="F698" s="1"/>
    </row>
    <row r="699" ht="15.75" customHeight="1">
      <c r="A699" s="1"/>
      <c r="B699" s="1"/>
      <c r="C699" s="1"/>
      <c r="D699" s="1"/>
      <c r="E699" s="1"/>
      <c r="F699" s="1"/>
    </row>
    <row r="700" ht="15.75" customHeight="1">
      <c r="A700" s="1"/>
      <c r="B700" s="1"/>
      <c r="C700" s="1"/>
      <c r="D700" s="1"/>
      <c r="E700" s="1"/>
      <c r="F700" s="1"/>
    </row>
    <row r="701" ht="15.75" customHeight="1">
      <c r="A701" s="1"/>
      <c r="B701" s="1"/>
      <c r="C701" s="1"/>
      <c r="D701" s="1"/>
      <c r="E701" s="1"/>
      <c r="F701" s="1"/>
    </row>
    <row r="702" ht="15.75" customHeight="1">
      <c r="A702" s="1"/>
      <c r="B702" s="1"/>
      <c r="C702" s="1"/>
      <c r="D702" s="1"/>
      <c r="E702" s="1"/>
      <c r="F702" s="1"/>
    </row>
    <row r="703" ht="15.75" customHeight="1">
      <c r="A703" s="1"/>
      <c r="B703" s="1"/>
      <c r="C703" s="1"/>
      <c r="D703" s="1"/>
      <c r="E703" s="1"/>
      <c r="F703" s="1"/>
    </row>
    <row r="704" ht="15.75" customHeight="1">
      <c r="A704" s="1"/>
      <c r="B704" s="1"/>
      <c r="C704" s="1"/>
      <c r="D704" s="1"/>
      <c r="E704" s="1"/>
      <c r="F704" s="1"/>
    </row>
    <row r="705" ht="15.75" customHeight="1">
      <c r="A705" s="1"/>
      <c r="B705" s="1"/>
      <c r="C705" s="1"/>
      <c r="D705" s="1"/>
      <c r="E705" s="1"/>
      <c r="F705" s="1"/>
    </row>
    <row r="706" ht="15.75" customHeight="1">
      <c r="A706" s="1"/>
      <c r="B706" s="1"/>
      <c r="C706" s="1"/>
      <c r="D706" s="1"/>
      <c r="E706" s="1"/>
      <c r="F706" s="1"/>
    </row>
    <row r="707" ht="15.75" customHeight="1">
      <c r="A707" s="1"/>
      <c r="B707" s="1"/>
      <c r="C707" s="1"/>
      <c r="D707" s="1"/>
      <c r="E707" s="1"/>
      <c r="F707" s="1"/>
    </row>
    <row r="708" ht="15.75" customHeight="1">
      <c r="A708" s="1"/>
      <c r="B708" s="1"/>
      <c r="C708" s="1"/>
      <c r="D708" s="1"/>
      <c r="E708" s="1"/>
      <c r="F708" s="1"/>
    </row>
    <row r="709" ht="15.75" customHeight="1">
      <c r="A709" s="1"/>
      <c r="B709" s="1"/>
      <c r="C709" s="1"/>
      <c r="D709" s="1"/>
      <c r="E709" s="1"/>
      <c r="F709" s="1"/>
    </row>
    <row r="710" ht="15.75" customHeight="1">
      <c r="A710" s="1"/>
      <c r="B710" s="1"/>
      <c r="C710" s="1"/>
      <c r="D710" s="1"/>
      <c r="E710" s="1"/>
      <c r="F710" s="1"/>
    </row>
    <row r="711" ht="15.75" customHeight="1">
      <c r="A711" s="1"/>
      <c r="B711" s="1"/>
      <c r="C711" s="1"/>
      <c r="D711" s="1"/>
      <c r="E711" s="1"/>
      <c r="F711" s="1"/>
    </row>
    <row r="712" ht="15.75" customHeight="1">
      <c r="A712" s="1"/>
      <c r="B712" s="1"/>
      <c r="C712" s="1"/>
      <c r="D712" s="1"/>
      <c r="E712" s="1"/>
      <c r="F712" s="1"/>
    </row>
    <row r="713" ht="15.75" customHeight="1">
      <c r="A713" s="1"/>
      <c r="B713" s="1"/>
      <c r="C713" s="1"/>
      <c r="D713" s="1"/>
      <c r="E713" s="1"/>
      <c r="F713" s="1"/>
    </row>
    <row r="714" ht="15.75" customHeight="1">
      <c r="A714" s="1"/>
      <c r="B714" s="1"/>
      <c r="C714" s="1"/>
      <c r="D714" s="1"/>
      <c r="E714" s="1"/>
      <c r="F714" s="1"/>
    </row>
    <row r="715" ht="15.75" customHeight="1">
      <c r="A715" s="1"/>
      <c r="B715" s="1"/>
      <c r="C715" s="1"/>
      <c r="D715" s="1"/>
      <c r="E715" s="1"/>
      <c r="F715" s="1"/>
    </row>
    <row r="716" ht="15.75" customHeight="1">
      <c r="A716" s="1"/>
      <c r="B716" s="1"/>
      <c r="C716" s="1"/>
      <c r="D716" s="1"/>
      <c r="E716" s="1"/>
      <c r="F716" s="1"/>
    </row>
    <row r="717" ht="15.75" customHeight="1">
      <c r="A717" s="1"/>
      <c r="B717" s="1"/>
      <c r="C717" s="1"/>
      <c r="D717" s="1"/>
      <c r="E717" s="1"/>
      <c r="F717" s="1"/>
    </row>
    <row r="718" ht="15.75" customHeight="1">
      <c r="A718" s="1"/>
      <c r="B718" s="1"/>
      <c r="C718" s="1"/>
      <c r="D718" s="1"/>
      <c r="E718" s="1"/>
      <c r="F718" s="1"/>
    </row>
    <row r="719" ht="15.75" customHeight="1">
      <c r="A719" s="1"/>
      <c r="B719" s="1"/>
      <c r="C719" s="1"/>
      <c r="D719" s="1"/>
      <c r="E719" s="1"/>
      <c r="F719" s="1"/>
    </row>
    <row r="720" ht="15.75" customHeight="1">
      <c r="A720" s="1"/>
      <c r="B720" s="1"/>
      <c r="C720" s="1"/>
      <c r="D720" s="1"/>
      <c r="E720" s="1"/>
      <c r="F720" s="1"/>
    </row>
    <row r="721" ht="15.75" customHeight="1">
      <c r="A721" s="1"/>
      <c r="B721" s="1"/>
      <c r="C721" s="1"/>
      <c r="D721" s="1"/>
      <c r="E721" s="1"/>
      <c r="F721" s="1"/>
    </row>
    <row r="722" ht="15.75" customHeight="1">
      <c r="A722" s="1"/>
      <c r="B722" s="1"/>
      <c r="C722" s="1"/>
      <c r="D722" s="1"/>
      <c r="E722" s="1"/>
      <c r="F722" s="1"/>
    </row>
    <row r="723" ht="15.75" customHeight="1">
      <c r="A723" s="1"/>
      <c r="B723" s="1"/>
      <c r="C723" s="1"/>
      <c r="D723" s="1"/>
      <c r="E723" s="1"/>
      <c r="F723" s="1"/>
    </row>
    <row r="724" ht="15.75" customHeight="1">
      <c r="A724" s="1"/>
      <c r="B724" s="1"/>
      <c r="C724" s="1"/>
      <c r="D724" s="1"/>
      <c r="E724" s="1"/>
      <c r="F724" s="1"/>
    </row>
    <row r="725" ht="15.75" customHeight="1">
      <c r="A725" s="1"/>
      <c r="B725" s="1"/>
      <c r="C725" s="1"/>
      <c r="D725" s="1"/>
      <c r="E725" s="1"/>
      <c r="F725" s="1"/>
    </row>
    <row r="726" ht="15.75" customHeight="1">
      <c r="A726" s="1"/>
      <c r="B726" s="1"/>
      <c r="C726" s="1"/>
      <c r="D726" s="1"/>
      <c r="E726" s="1"/>
      <c r="F726" s="1"/>
    </row>
    <row r="727" ht="15.75" customHeight="1">
      <c r="A727" s="1"/>
      <c r="B727" s="1"/>
      <c r="C727" s="1"/>
      <c r="D727" s="1"/>
      <c r="E727" s="1"/>
      <c r="F727" s="1"/>
    </row>
    <row r="728" ht="15.75" customHeight="1">
      <c r="A728" s="1"/>
      <c r="B728" s="1"/>
      <c r="C728" s="1"/>
      <c r="D728" s="1"/>
      <c r="E728" s="1"/>
      <c r="F728" s="1"/>
    </row>
    <row r="729" ht="15.75" customHeight="1">
      <c r="A729" s="1"/>
      <c r="B729" s="1"/>
      <c r="C729" s="1"/>
      <c r="D729" s="1"/>
      <c r="E729" s="1"/>
      <c r="F729" s="1"/>
    </row>
    <row r="730" ht="15.75" customHeight="1">
      <c r="A730" s="1"/>
      <c r="B730" s="1"/>
      <c r="C730" s="1"/>
      <c r="D730" s="1"/>
      <c r="E730" s="1"/>
      <c r="F730" s="1"/>
    </row>
    <row r="731" ht="15.75" customHeight="1">
      <c r="A731" s="1"/>
      <c r="B731" s="1"/>
      <c r="C731" s="1"/>
      <c r="D731" s="1"/>
      <c r="E731" s="1"/>
      <c r="F731" s="1"/>
    </row>
    <row r="732" ht="15.75" customHeight="1">
      <c r="A732" s="1"/>
      <c r="B732" s="1"/>
      <c r="C732" s="1"/>
      <c r="D732" s="1"/>
      <c r="E732" s="1"/>
      <c r="F732" s="1"/>
    </row>
    <row r="733" ht="15.75" customHeight="1">
      <c r="A733" s="1"/>
      <c r="B733" s="1"/>
      <c r="C733" s="1"/>
      <c r="D733" s="1"/>
      <c r="E733" s="1"/>
      <c r="F733" s="1"/>
    </row>
    <row r="734" ht="15.75" customHeight="1">
      <c r="A734" s="1"/>
      <c r="B734" s="1"/>
      <c r="C734" s="1"/>
      <c r="D734" s="1"/>
      <c r="E734" s="1"/>
      <c r="F734" s="1"/>
    </row>
    <row r="735" ht="15.75" customHeight="1">
      <c r="A735" s="1"/>
      <c r="B735" s="1"/>
      <c r="C735" s="1"/>
      <c r="D735" s="1"/>
      <c r="E735" s="1"/>
      <c r="F735" s="1"/>
    </row>
    <row r="736" ht="15.75" customHeight="1">
      <c r="A736" s="1"/>
      <c r="B736" s="1"/>
      <c r="C736" s="1"/>
      <c r="D736" s="1"/>
      <c r="E736" s="1"/>
      <c r="F736" s="1"/>
    </row>
    <row r="737" ht="15.75" customHeight="1">
      <c r="A737" s="1"/>
      <c r="B737" s="1"/>
      <c r="C737" s="1"/>
      <c r="D737" s="1"/>
      <c r="E737" s="1"/>
      <c r="F737" s="1"/>
    </row>
    <row r="738" ht="15.75" customHeight="1">
      <c r="A738" s="1"/>
      <c r="B738" s="1"/>
      <c r="C738" s="1"/>
      <c r="D738" s="1"/>
      <c r="E738" s="1"/>
      <c r="F738" s="1"/>
    </row>
    <row r="739" ht="15.75" customHeight="1">
      <c r="A739" s="1"/>
      <c r="B739" s="1"/>
      <c r="C739" s="1"/>
      <c r="D739" s="1"/>
      <c r="E739" s="1"/>
      <c r="F739" s="1"/>
    </row>
    <row r="740" ht="15.75" customHeight="1">
      <c r="A740" s="1"/>
      <c r="B740" s="1"/>
      <c r="C740" s="1"/>
      <c r="D740" s="1"/>
      <c r="E740" s="1"/>
      <c r="F740" s="1"/>
    </row>
    <row r="741" ht="15.75" customHeight="1">
      <c r="A741" s="1"/>
      <c r="B741" s="1"/>
      <c r="C741" s="1"/>
      <c r="D741" s="1"/>
      <c r="E741" s="1"/>
      <c r="F741" s="1"/>
    </row>
    <row r="742" ht="15.75" customHeight="1">
      <c r="A742" s="1"/>
      <c r="B742" s="1"/>
      <c r="C742" s="1"/>
      <c r="D742" s="1"/>
      <c r="E742" s="1"/>
      <c r="F742" s="1"/>
    </row>
    <row r="743" ht="15.75" customHeight="1">
      <c r="A743" s="1"/>
      <c r="B743" s="1"/>
      <c r="C743" s="1"/>
      <c r="D743" s="1"/>
      <c r="E743" s="1"/>
      <c r="F743" s="1"/>
    </row>
    <row r="744" ht="15.75" customHeight="1">
      <c r="A744" s="1"/>
      <c r="B744" s="1"/>
      <c r="C744" s="1"/>
      <c r="D744" s="1"/>
      <c r="E744" s="1"/>
      <c r="F744" s="1"/>
    </row>
    <row r="745" ht="15.75" customHeight="1">
      <c r="A745" s="1"/>
      <c r="B745" s="1"/>
      <c r="C745" s="1"/>
      <c r="D745" s="1"/>
      <c r="E745" s="1"/>
      <c r="F745" s="1"/>
    </row>
    <row r="746" ht="15.75" customHeight="1">
      <c r="A746" s="1"/>
      <c r="B746" s="1"/>
      <c r="C746" s="1"/>
      <c r="D746" s="1"/>
      <c r="E746" s="1"/>
      <c r="F746" s="1"/>
    </row>
    <row r="747" ht="15.75" customHeight="1">
      <c r="A747" s="1"/>
      <c r="B747" s="1"/>
      <c r="C747" s="1"/>
      <c r="D747" s="1"/>
      <c r="E747" s="1"/>
      <c r="F747" s="1"/>
    </row>
    <row r="748" ht="15.75" customHeight="1">
      <c r="A748" s="1"/>
      <c r="B748" s="1"/>
      <c r="C748" s="1"/>
      <c r="D748" s="1"/>
      <c r="E748" s="1"/>
      <c r="F748" s="1"/>
    </row>
    <row r="749" ht="15.75" customHeight="1">
      <c r="A749" s="1"/>
      <c r="B749" s="1"/>
      <c r="C749" s="1"/>
      <c r="D749" s="1"/>
      <c r="E749" s="1"/>
      <c r="F749" s="1"/>
    </row>
    <row r="750" ht="15.75" customHeight="1">
      <c r="A750" s="1"/>
      <c r="B750" s="1"/>
      <c r="C750" s="1"/>
      <c r="D750" s="1"/>
      <c r="E750" s="1"/>
      <c r="F750" s="1"/>
    </row>
    <row r="751" ht="15.75" customHeight="1">
      <c r="A751" s="1"/>
      <c r="B751" s="1"/>
      <c r="C751" s="1"/>
      <c r="D751" s="1"/>
      <c r="E751" s="1"/>
      <c r="F751" s="1"/>
    </row>
    <row r="752" ht="15.75" customHeight="1">
      <c r="A752" s="1"/>
      <c r="B752" s="1"/>
      <c r="C752" s="1"/>
      <c r="D752" s="1"/>
      <c r="E752" s="1"/>
      <c r="F752" s="1"/>
    </row>
    <row r="753" ht="15.75" customHeight="1">
      <c r="A753" s="1"/>
      <c r="B753" s="1"/>
      <c r="C753" s="1"/>
      <c r="D753" s="1"/>
      <c r="E753" s="1"/>
      <c r="F753" s="1"/>
    </row>
    <row r="754" ht="15.75" customHeight="1">
      <c r="A754" s="1"/>
      <c r="B754" s="1"/>
      <c r="C754" s="1"/>
      <c r="D754" s="1"/>
      <c r="E754" s="1"/>
      <c r="F754" s="1"/>
    </row>
    <row r="755" ht="15.75" customHeight="1">
      <c r="A755" s="1"/>
      <c r="B755" s="1"/>
      <c r="C755" s="1"/>
      <c r="D755" s="1"/>
      <c r="E755" s="1"/>
      <c r="F755" s="1"/>
    </row>
    <row r="756" ht="15.75" customHeight="1">
      <c r="A756" s="1"/>
      <c r="B756" s="1"/>
      <c r="C756" s="1"/>
      <c r="D756" s="1"/>
      <c r="E756" s="1"/>
      <c r="F756" s="1"/>
    </row>
    <row r="757" ht="15.75" customHeight="1">
      <c r="A757" s="1"/>
      <c r="B757" s="1"/>
      <c r="C757" s="1"/>
      <c r="D757" s="1"/>
      <c r="E757" s="1"/>
      <c r="F757" s="1"/>
    </row>
    <row r="758" ht="15.75" customHeight="1">
      <c r="A758" s="1"/>
      <c r="B758" s="1"/>
      <c r="C758" s="1"/>
      <c r="D758" s="1"/>
      <c r="E758" s="1"/>
      <c r="F758" s="1"/>
    </row>
    <row r="759" ht="15.75" customHeight="1">
      <c r="A759" s="1"/>
      <c r="B759" s="1"/>
      <c r="C759" s="1"/>
      <c r="D759" s="1"/>
      <c r="E759" s="1"/>
      <c r="F759" s="1"/>
    </row>
    <row r="760" ht="15.75" customHeight="1">
      <c r="A760" s="1"/>
      <c r="B760" s="1"/>
      <c r="C760" s="1"/>
      <c r="D760" s="1"/>
      <c r="E760" s="1"/>
      <c r="F760" s="1"/>
    </row>
    <row r="761" ht="15.75" customHeight="1">
      <c r="A761" s="1"/>
      <c r="B761" s="1"/>
      <c r="C761" s="1"/>
      <c r="D761" s="1"/>
      <c r="E761" s="1"/>
      <c r="F761" s="1"/>
    </row>
    <row r="762" ht="15.75" customHeight="1">
      <c r="A762" s="1"/>
      <c r="B762" s="1"/>
      <c r="C762" s="1"/>
      <c r="D762" s="1"/>
      <c r="E762" s="1"/>
      <c r="F762" s="1"/>
    </row>
    <row r="763" ht="15.75" customHeight="1">
      <c r="A763" s="1"/>
      <c r="B763" s="1"/>
      <c r="C763" s="1"/>
      <c r="D763" s="1"/>
      <c r="E763" s="1"/>
      <c r="F763" s="1"/>
    </row>
    <row r="764" ht="15.75" customHeight="1">
      <c r="A764" s="1"/>
      <c r="B764" s="1"/>
      <c r="C764" s="1"/>
      <c r="D764" s="1"/>
      <c r="E764" s="1"/>
      <c r="F764" s="1"/>
    </row>
    <row r="765" ht="15.75" customHeight="1">
      <c r="A765" s="1"/>
      <c r="B765" s="1"/>
      <c r="C765" s="1"/>
      <c r="D765" s="1"/>
      <c r="E765" s="1"/>
      <c r="F765" s="1"/>
    </row>
    <row r="766" ht="15.75" customHeight="1">
      <c r="A766" s="1"/>
      <c r="B766" s="1"/>
      <c r="C766" s="1"/>
      <c r="D766" s="1"/>
      <c r="E766" s="1"/>
      <c r="F766" s="1"/>
    </row>
    <row r="767" ht="15.75" customHeight="1">
      <c r="A767" s="1"/>
      <c r="B767" s="1"/>
      <c r="C767" s="1"/>
      <c r="D767" s="1"/>
      <c r="E767" s="1"/>
      <c r="F767" s="1"/>
    </row>
    <row r="768" ht="15.75" customHeight="1">
      <c r="A768" s="1"/>
      <c r="B768" s="1"/>
      <c r="C768" s="1"/>
      <c r="D768" s="1"/>
      <c r="E768" s="1"/>
      <c r="F768" s="1"/>
    </row>
    <row r="769" ht="15.75" customHeight="1">
      <c r="A769" s="1"/>
      <c r="B769" s="1"/>
      <c r="C769" s="1"/>
      <c r="D769" s="1"/>
      <c r="E769" s="1"/>
      <c r="F769" s="1"/>
    </row>
    <row r="770" ht="15.75" customHeight="1">
      <c r="A770" s="1"/>
      <c r="B770" s="1"/>
      <c r="C770" s="1"/>
      <c r="D770" s="1"/>
      <c r="E770" s="1"/>
      <c r="F770" s="1"/>
    </row>
    <row r="771" ht="15.75" customHeight="1">
      <c r="A771" s="1"/>
      <c r="B771" s="1"/>
      <c r="C771" s="1"/>
      <c r="D771" s="1"/>
      <c r="E771" s="1"/>
      <c r="F771" s="1"/>
    </row>
    <row r="772" ht="15.75" customHeight="1">
      <c r="A772" s="1"/>
      <c r="B772" s="1"/>
      <c r="C772" s="1"/>
      <c r="D772" s="1"/>
      <c r="E772" s="1"/>
      <c r="F772" s="1"/>
    </row>
    <row r="773" ht="15.75" customHeight="1">
      <c r="A773" s="1"/>
      <c r="B773" s="1"/>
      <c r="C773" s="1"/>
      <c r="D773" s="1"/>
      <c r="E773" s="1"/>
      <c r="F773" s="1"/>
    </row>
    <row r="774" ht="15.75" customHeight="1">
      <c r="A774" s="1"/>
      <c r="B774" s="1"/>
      <c r="C774" s="1"/>
      <c r="D774" s="1"/>
      <c r="E774" s="1"/>
      <c r="F774" s="1"/>
    </row>
    <row r="775" ht="15.75" customHeight="1">
      <c r="A775" s="1"/>
      <c r="B775" s="1"/>
      <c r="C775" s="1"/>
      <c r="D775" s="1"/>
      <c r="E775" s="1"/>
      <c r="F775" s="1"/>
    </row>
    <row r="776" ht="15.75" customHeight="1">
      <c r="A776" s="1"/>
      <c r="B776" s="1"/>
      <c r="C776" s="1"/>
      <c r="D776" s="1"/>
      <c r="E776" s="1"/>
      <c r="F776" s="1"/>
    </row>
    <row r="777" ht="15.75" customHeight="1">
      <c r="A777" s="1"/>
      <c r="B777" s="1"/>
      <c r="C777" s="1"/>
      <c r="D777" s="1"/>
      <c r="E777" s="1"/>
      <c r="F777" s="1"/>
    </row>
    <row r="778" ht="15.75" customHeight="1">
      <c r="A778" s="1"/>
      <c r="B778" s="1"/>
      <c r="C778" s="1"/>
      <c r="D778" s="1"/>
      <c r="E778" s="1"/>
      <c r="F778" s="1"/>
    </row>
    <row r="779" ht="15.75" customHeight="1">
      <c r="A779" s="1"/>
      <c r="B779" s="1"/>
      <c r="C779" s="1"/>
      <c r="D779" s="1"/>
      <c r="E779" s="1"/>
      <c r="F779" s="1"/>
    </row>
    <row r="780" ht="15.75" customHeight="1">
      <c r="A780" s="1"/>
      <c r="B780" s="1"/>
      <c r="C780" s="1"/>
      <c r="D780" s="1"/>
      <c r="E780" s="1"/>
      <c r="F780" s="1"/>
    </row>
    <row r="781" ht="15.75" customHeight="1">
      <c r="A781" s="1"/>
      <c r="B781" s="1"/>
      <c r="C781" s="1"/>
      <c r="D781" s="1"/>
      <c r="E781" s="1"/>
      <c r="F781" s="1"/>
    </row>
    <row r="782" ht="15.75" customHeight="1">
      <c r="A782" s="1"/>
      <c r="B782" s="1"/>
      <c r="C782" s="1"/>
      <c r="D782" s="1"/>
      <c r="E782" s="1"/>
      <c r="F782" s="1"/>
    </row>
    <row r="783" ht="15.75" customHeight="1">
      <c r="A783" s="1"/>
      <c r="B783" s="1"/>
      <c r="C783" s="1"/>
      <c r="D783" s="1"/>
      <c r="E783" s="1"/>
      <c r="F783" s="1"/>
    </row>
    <row r="784" ht="15.75" customHeight="1">
      <c r="A784" s="1"/>
      <c r="B784" s="1"/>
      <c r="C784" s="1"/>
      <c r="D784" s="1"/>
      <c r="E784" s="1"/>
      <c r="F784" s="1"/>
    </row>
    <row r="785" ht="15.75" customHeight="1">
      <c r="A785" s="1"/>
      <c r="B785" s="1"/>
      <c r="C785" s="1"/>
      <c r="D785" s="1"/>
      <c r="E785" s="1"/>
      <c r="F785" s="1"/>
    </row>
    <row r="786" ht="15.75" customHeight="1">
      <c r="A786" s="1"/>
      <c r="B786" s="1"/>
      <c r="C786" s="1"/>
      <c r="D786" s="1"/>
      <c r="E786" s="1"/>
      <c r="F786" s="1"/>
    </row>
    <row r="787" ht="15.75" customHeight="1">
      <c r="A787" s="1"/>
      <c r="B787" s="1"/>
      <c r="C787" s="1"/>
      <c r="D787" s="1"/>
      <c r="E787" s="1"/>
      <c r="F787" s="1"/>
    </row>
    <row r="788" ht="15.75" customHeight="1">
      <c r="A788" s="1"/>
      <c r="B788" s="1"/>
      <c r="C788" s="1"/>
      <c r="D788" s="1"/>
      <c r="E788" s="1"/>
      <c r="F788" s="1"/>
    </row>
    <row r="789" ht="15.75" customHeight="1">
      <c r="A789" s="1"/>
      <c r="B789" s="1"/>
      <c r="C789" s="1"/>
      <c r="D789" s="1"/>
      <c r="E789" s="1"/>
      <c r="F789" s="1"/>
    </row>
    <row r="790" ht="15.75" customHeight="1">
      <c r="A790" s="1"/>
      <c r="B790" s="1"/>
      <c r="C790" s="1"/>
      <c r="D790" s="1"/>
      <c r="E790" s="1"/>
      <c r="F790" s="1"/>
    </row>
    <row r="791" ht="15.75" customHeight="1">
      <c r="A791" s="1"/>
      <c r="B791" s="1"/>
      <c r="C791" s="1"/>
      <c r="D791" s="1"/>
      <c r="E791" s="1"/>
      <c r="F791" s="1"/>
    </row>
    <row r="792" ht="15.75" customHeight="1">
      <c r="A792" s="1"/>
      <c r="B792" s="1"/>
      <c r="C792" s="1"/>
      <c r="D792" s="1"/>
      <c r="E792" s="1"/>
      <c r="F792" s="1"/>
    </row>
    <row r="793" ht="15.75" customHeight="1">
      <c r="A793" s="1"/>
      <c r="B793" s="1"/>
      <c r="C793" s="1"/>
      <c r="D793" s="1"/>
      <c r="E793" s="1"/>
      <c r="F793" s="1"/>
    </row>
    <row r="794" ht="15.75" customHeight="1">
      <c r="A794" s="1"/>
      <c r="B794" s="1"/>
      <c r="C794" s="1"/>
      <c r="D794" s="1"/>
      <c r="E794" s="1"/>
      <c r="F794" s="1"/>
    </row>
    <row r="795" ht="15.75" customHeight="1">
      <c r="A795" s="1"/>
      <c r="B795" s="1"/>
      <c r="C795" s="1"/>
      <c r="D795" s="1"/>
      <c r="E795" s="1"/>
      <c r="F795" s="1"/>
    </row>
    <row r="796" ht="15.75" customHeight="1">
      <c r="A796" s="1"/>
      <c r="B796" s="1"/>
      <c r="C796" s="1"/>
      <c r="D796" s="1"/>
      <c r="E796" s="1"/>
      <c r="F796" s="1"/>
    </row>
    <row r="797" ht="15.75" customHeight="1">
      <c r="A797" s="1"/>
      <c r="B797" s="1"/>
      <c r="C797" s="1"/>
      <c r="D797" s="1"/>
      <c r="E797" s="1"/>
      <c r="F797" s="1"/>
    </row>
    <row r="798" ht="15.75" customHeight="1">
      <c r="A798" s="1"/>
      <c r="B798" s="1"/>
      <c r="C798" s="1"/>
      <c r="D798" s="1"/>
      <c r="E798" s="1"/>
      <c r="F798" s="1"/>
    </row>
    <row r="799" ht="15.75" customHeight="1">
      <c r="A799" s="1"/>
      <c r="B799" s="1"/>
      <c r="C799" s="1"/>
      <c r="D799" s="1"/>
      <c r="E799" s="1"/>
      <c r="F799" s="1"/>
    </row>
    <row r="800" ht="15.75" customHeight="1">
      <c r="A800" s="1"/>
      <c r="B800" s="1"/>
      <c r="C800" s="1"/>
      <c r="D800" s="1"/>
      <c r="E800" s="1"/>
      <c r="F800" s="1"/>
    </row>
    <row r="801" ht="15.75" customHeight="1">
      <c r="A801" s="1"/>
      <c r="B801" s="1"/>
      <c r="C801" s="1"/>
      <c r="D801" s="1"/>
      <c r="E801" s="1"/>
      <c r="F801" s="1"/>
    </row>
    <row r="802" ht="15.75" customHeight="1">
      <c r="A802" s="1"/>
      <c r="B802" s="1"/>
      <c r="C802" s="1"/>
      <c r="D802" s="1"/>
      <c r="E802" s="1"/>
      <c r="F802" s="1"/>
    </row>
    <row r="803" ht="15.75" customHeight="1">
      <c r="A803" s="1"/>
      <c r="B803" s="1"/>
      <c r="C803" s="1"/>
      <c r="D803" s="1"/>
      <c r="E803" s="1"/>
      <c r="F803" s="1"/>
    </row>
    <row r="804" ht="15.75" customHeight="1">
      <c r="A804" s="1"/>
      <c r="B804" s="1"/>
      <c r="C804" s="1"/>
      <c r="D804" s="1"/>
      <c r="E804" s="1"/>
      <c r="F804" s="1"/>
    </row>
    <row r="805" ht="15.75" customHeight="1">
      <c r="A805" s="1"/>
      <c r="B805" s="1"/>
      <c r="C805" s="1"/>
      <c r="D805" s="1"/>
      <c r="E805" s="1"/>
      <c r="F805" s="1"/>
    </row>
    <row r="806" ht="15.75" customHeight="1">
      <c r="A806" s="1"/>
      <c r="B806" s="1"/>
      <c r="C806" s="1"/>
      <c r="D806" s="1"/>
      <c r="E806" s="1"/>
      <c r="F806" s="1"/>
    </row>
    <row r="807" ht="15.75" customHeight="1">
      <c r="A807" s="1"/>
      <c r="B807" s="1"/>
      <c r="C807" s="1"/>
      <c r="D807" s="1"/>
      <c r="E807" s="1"/>
      <c r="F807" s="1"/>
    </row>
    <row r="808" ht="15.75" customHeight="1">
      <c r="A808" s="1"/>
      <c r="B808" s="1"/>
      <c r="C808" s="1"/>
      <c r="D808" s="1"/>
      <c r="E808" s="1"/>
      <c r="F808" s="1"/>
    </row>
    <row r="809" ht="15.75" customHeight="1">
      <c r="A809" s="1"/>
      <c r="B809" s="1"/>
      <c r="C809" s="1"/>
      <c r="D809" s="1"/>
      <c r="E809" s="1"/>
      <c r="F809" s="1"/>
    </row>
    <row r="810" ht="15.75" customHeight="1">
      <c r="A810" s="1"/>
      <c r="B810" s="1"/>
      <c r="C810" s="1"/>
      <c r="D810" s="1"/>
      <c r="E810" s="1"/>
      <c r="F810" s="1"/>
    </row>
    <row r="811" ht="15.75" customHeight="1">
      <c r="A811" s="1"/>
      <c r="B811" s="1"/>
      <c r="C811" s="1"/>
      <c r="D811" s="1"/>
      <c r="E811" s="1"/>
      <c r="F811" s="1"/>
    </row>
    <row r="812" ht="15.75" customHeight="1">
      <c r="A812" s="1"/>
      <c r="B812" s="1"/>
      <c r="C812" s="1"/>
      <c r="D812" s="1"/>
      <c r="E812" s="1"/>
      <c r="F812" s="1"/>
    </row>
    <row r="813" ht="15.75" customHeight="1">
      <c r="A813" s="1"/>
      <c r="B813" s="1"/>
      <c r="C813" s="1"/>
      <c r="D813" s="1"/>
      <c r="E813" s="1"/>
      <c r="F813" s="1"/>
    </row>
    <row r="814" ht="15.75" customHeight="1">
      <c r="A814" s="1"/>
      <c r="B814" s="1"/>
      <c r="C814" s="1"/>
      <c r="D814" s="1"/>
      <c r="E814" s="1"/>
      <c r="F814" s="1"/>
    </row>
    <row r="815" ht="15.75" customHeight="1">
      <c r="A815" s="1"/>
      <c r="B815" s="1"/>
      <c r="C815" s="1"/>
      <c r="D815" s="1"/>
      <c r="E815" s="1"/>
      <c r="F815" s="1"/>
    </row>
    <row r="816" ht="15.75" customHeight="1">
      <c r="A816" s="1"/>
      <c r="B816" s="1"/>
      <c r="C816" s="1"/>
      <c r="D816" s="1"/>
      <c r="E816" s="1"/>
      <c r="F816" s="1"/>
    </row>
    <row r="817" ht="15.75" customHeight="1">
      <c r="A817" s="1"/>
      <c r="B817" s="1"/>
      <c r="C817" s="1"/>
      <c r="D817" s="1"/>
      <c r="E817" s="1"/>
      <c r="F817" s="1"/>
    </row>
    <row r="818" ht="15.75" customHeight="1">
      <c r="A818" s="1"/>
      <c r="B818" s="1"/>
      <c r="C818" s="1"/>
      <c r="D818" s="1"/>
      <c r="E818" s="1"/>
      <c r="F818" s="1"/>
    </row>
    <row r="819" ht="15.75" customHeight="1">
      <c r="A819" s="1"/>
      <c r="B819" s="1"/>
      <c r="C819" s="1"/>
      <c r="D819" s="1"/>
      <c r="E819" s="1"/>
      <c r="F819" s="1"/>
    </row>
    <row r="820" ht="15.75" customHeight="1">
      <c r="A820" s="1"/>
      <c r="B820" s="1"/>
      <c r="C820" s="1"/>
      <c r="D820" s="1"/>
      <c r="E820" s="1"/>
      <c r="F820" s="1"/>
    </row>
    <row r="821" ht="15.75" customHeight="1">
      <c r="A821" s="1"/>
      <c r="B821" s="1"/>
      <c r="C821" s="1"/>
      <c r="D821" s="1"/>
      <c r="E821" s="1"/>
      <c r="F821" s="1"/>
    </row>
    <row r="822" ht="15.75" customHeight="1">
      <c r="A822" s="1"/>
      <c r="B822" s="1"/>
      <c r="C822" s="1"/>
      <c r="D822" s="1"/>
      <c r="E822" s="1"/>
      <c r="F822" s="1"/>
    </row>
    <row r="823" ht="15.75" customHeight="1">
      <c r="A823" s="1"/>
      <c r="B823" s="1"/>
      <c r="C823" s="1"/>
      <c r="D823" s="1"/>
      <c r="E823" s="1"/>
      <c r="F823" s="1"/>
    </row>
    <row r="824" ht="15.75" customHeight="1">
      <c r="A824" s="1"/>
      <c r="B824" s="1"/>
      <c r="C824" s="1"/>
      <c r="D824" s="1"/>
      <c r="E824" s="1"/>
      <c r="F824" s="1"/>
    </row>
    <row r="825" ht="15.75" customHeight="1">
      <c r="A825" s="1"/>
      <c r="B825" s="1"/>
      <c r="C825" s="1"/>
      <c r="D825" s="1"/>
      <c r="E825" s="1"/>
      <c r="F825" s="1"/>
    </row>
    <row r="826" ht="15.75" customHeight="1">
      <c r="A826" s="1"/>
      <c r="B826" s="1"/>
      <c r="C826" s="1"/>
      <c r="D826" s="1"/>
      <c r="E826" s="1"/>
      <c r="F826" s="1"/>
    </row>
    <row r="827" ht="15.75" customHeight="1">
      <c r="A827" s="1"/>
      <c r="B827" s="1"/>
      <c r="C827" s="1"/>
      <c r="D827" s="1"/>
      <c r="E827" s="1"/>
      <c r="F827" s="1"/>
    </row>
    <row r="828" ht="15.75" customHeight="1">
      <c r="A828" s="1"/>
      <c r="B828" s="1"/>
      <c r="C828" s="1"/>
      <c r="D828" s="1"/>
      <c r="E828" s="1"/>
      <c r="F828" s="1"/>
    </row>
    <row r="829" ht="15.75" customHeight="1">
      <c r="A829" s="1"/>
      <c r="B829" s="1"/>
      <c r="C829" s="1"/>
      <c r="D829" s="1"/>
      <c r="E829" s="1"/>
      <c r="F829" s="1"/>
    </row>
    <row r="830" ht="15.75" customHeight="1">
      <c r="A830" s="1"/>
      <c r="B830" s="1"/>
      <c r="C830" s="1"/>
      <c r="D830" s="1"/>
      <c r="E830" s="1"/>
      <c r="F830" s="1"/>
    </row>
    <row r="831" ht="15.75" customHeight="1">
      <c r="A831" s="1"/>
      <c r="B831" s="1"/>
      <c r="C831" s="1"/>
      <c r="D831" s="1"/>
      <c r="E831" s="1"/>
      <c r="F831" s="1"/>
    </row>
    <row r="832" ht="15.75" customHeight="1">
      <c r="A832" s="1"/>
      <c r="B832" s="1"/>
      <c r="C832" s="1"/>
      <c r="D832" s="1"/>
      <c r="E832" s="1"/>
      <c r="F832" s="1"/>
    </row>
    <row r="833" ht="15.75" customHeight="1">
      <c r="A833" s="1"/>
      <c r="B833" s="1"/>
      <c r="C833" s="1"/>
      <c r="D833" s="1"/>
      <c r="E833" s="1"/>
      <c r="F833" s="1"/>
    </row>
    <row r="834" ht="15.75" customHeight="1">
      <c r="A834" s="1"/>
      <c r="B834" s="1"/>
      <c r="C834" s="1"/>
      <c r="D834" s="1"/>
      <c r="E834" s="1"/>
      <c r="F834" s="1"/>
    </row>
    <row r="835" ht="15.75" customHeight="1">
      <c r="A835" s="1"/>
      <c r="B835" s="1"/>
      <c r="C835" s="1"/>
      <c r="D835" s="1"/>
      <c r="E835" s="1"/>
      <c r="F835" s="1"/>
    </row>
    <row r="836" ht="15.75" customHeight="1">
      <c r="A836" s="1"/>
      <c r="B836" s="1"/>
      <c r="C836" s="1"/>
      <c r="D836" s="1"/>
      <c r="E836" s="1"/>
      <c r="F836" s="1"/>
    </row>
    <row r="837" ht="15.75" customHeight="1">
      <c r="A837" s="1"/>
      <c r="B837" s="1"/>
      <c r="C837" s="1"/>
      <c r="D837" s="1"/>
      <c r="E837" s="1"/>
      <c r="F837" s="1"/>
    </row>
    <row r="838" ht="15.75" customHeight="1">
      <c r="A838" s="1"/>
      <c r="B838" s="1"/>
      <c r="C838" s="1"/>
      <c r="D838" s="1"/>
      <c r="E838" s="1"/>
      <c r="F838" s="1"/>
    </row>
    <row r="839" ht="15.75" customHeight="1">
      <c r="A839" s="1"/>
      <c r="B839" s="1"/>
      <c r="C839" s="1"/>
      <c r="D839" s="1"/>
      <c r="E839" s="1"/>
      <c r="F839" s="1"/>
    </row>
    <row r="840" ht="15.75" customHeight="1">
      <c r="A840" s="1"/>
      <c r="B840" s="1"/>
      <c r="C840" s="1"/>
      <c r="D840" s="1"/>
      <c r="E840" s="1"/>
      <c r="F840" s="1"/>
    </row>
    <row r="841" ht="15.75" customHeight="1">
      <c r="A841" s="1"/>
      <c r="B841" s="1"/>
      <c r="C841" s="1"/>
      <c r="D841" s="1"/>
      <c r="E841" s="1"/>
      <c r="F841" s="1"/>
    </row>
    <row r="842" ht="15.75" customHeight="1">
      <c r="A842" s="1"/>
      <c r="B842" s="1"/>
      <c r="C842" s="1"/>
      <c r="D842" s="1"/>
      <c r="E842" s="1"/>
      <c r="F842" s="1"/>
    </row>
    <row r="843" ht="15.75" customHeight="1">
      <c r="A843" s="1"/>
      <c r="B843" s="1"/>
      <c r="C843" s="1"/>
      <c r="D843" s="1"/>
      <c r="E843" s="1"/>
      <c r="F843" s="1"/>
    </row>
    <row r="844" ht="15.75" customHeight="1">
      <c r="A844" s="1"/>
      <c r="B844" s="1"/>
      <c r="C844" s="1"/>
      <c r="D844" s="1"/>
      <c r="E844" s="1"/>
      <c r="F844" s="1"/>
    </row>
    <row r="845" ht="15.75" customHeight="1">
      <c r="A845" s="1"/>
      <c r="B845" s="1"/>
      <c r="C845" s="1"/>
      <c r="D845" s="1"/>
      <c r="E845" s="1"/>
      <c r="F845" s="1"/>
    </row>
    <row r="846" ht="15.75" customHeight="1">
      <c r="A846" s="1"/>
      <c r="B846" s="1"/>
      <c r="C846" s="1"/>
      <c r="D846" s="1"/>
      <c r="E846" s="1"/>
      <c r="F846" s="1"/>
    </row>
    <row r="847" ht="15.75" customHeight="1">
      <c r="A847" s="1"/>
      <c r="B847" s="1"/>
      <c r="C847" s="1"/>
      <c r="D847" s="1"/>
      <c r="E847" s="1"/>
      <c r="F847" s="1"/>
    </row>
    <row r="848" ht="15.75" customHeight="1">
      <c r="A848" s="1"/>
      <c r="B848" s="1"/>
      <c r="C848" s="1"/>
      <c r="D848" s="1"/>
      <c r="E848" s="1"/>
      <c r="F848" s="1"/>
    </row>
    <row r="849" ht="15.75" customHeight="1">
      <c r="A849" s="1"/>
      <c r="B849" s="1"/>
      <c r="C849" s="1"/>
      <c r="D849" s="1"/>
      <c r="E849" s="1"/>
      <c r="F849" s="1"/>
    </row>
    <row r="850" ht="15.75" customHeight="1">
      <c r="A850" s="1"/>
      <c r="B850" s="1"/>
      <c r="C850" s="1"/>
      <c r="D850" s="1"/>
      <c r="E850" s="1"/>
      <c r="F850" s="1"/>
    </row>
    <row r="851" ht="15.75" customHeight="1">
      <c r="A851" s="1"/>
      <c r="B851" s="1"/>
      <c r="C851" s="1"/>
      <c r="D851" s="1"/>
      <c r="E851" s="1"/>
      <c r="F851" s="1"/>
    </row>
    <row r="852" ht="15.75" customHeight="1">
      <c r="A852" s="1"/>
      <c r="B852" s="1"/>
      <c r="C852" s="1"/>
      <c r="D852" s="1"/>
      <c r="E852" s="1"/>
      <c r="F852" s="1"/>
    </row>
    <row r="853" ht="15.75" customHeight="1">
      <c r="A853" s="1"/>
      <c r="B853" s="1"/>
      <c r="C853" s="1"/>
      <c r="D853" s="1"/>
      <c r="E853" s="1"/>
      <c r="F853" s="1"/>
    </row>
    <row r="854" ht="15.75" customHeight="1">
      <c r="A854" s="1"/>
      <c r="B854" s="1"/>
      <c r="C854" s="1"/>
      <c r="D854" s="1"/>
      <c r="E854" s="1"/>
      <c r="F854" s="1"/>
    </row>
    <row r="855" ht="15.75" customHeight="1">
      <c r="A855" s="1"/>
      <c r="B855" s="1"/>
      <c r="C855" s="1"/>
      <c r="D855" s="1"/>
      <c r="E855" s="1"/>
      <c r="F855" s="1"/>
    </row>
    <row r="856" ht="15.75" customHeight="1">
      <c r="A856" s="1"/>
      <c r="B856" s="1"/>
      <c r="C856" s="1"/>
      <c r="D856" s="1"/>
      <c r="E856" s="1"/>
      <c r="F856" s="1"/>
    </row>
    <row r="857" ht="15.75" customHeight="1">
      <c r="A857" s="1"/>
      <c r="B857" s="1"/>
      <c r="C857" s="1"/>
      <c r="D857" s="1"/>
      <c r="E857" s="1"/>
      <c r="F857" s="1"/>
    </row>
    <row r="858" ht="15.75" customHeight="1">
      <c r="A858" s="1"/>
      <c r="B858" s="1"/>
      <c r="C858" s="1"/>
      <c r="D858" s="1"/>
      <c r="E858" s="1"/>
      <c r="F858" s="1"/>
    </row>
    <row r="859" ht="15.75" customHeight="1">
      <c r="A859" s="1"/>
      <c r="B859" s="1"/>
      <c r="C859" s="1"/>
      <c r="D859" s="1"/>
      <c r="E859" s="1"/>
      <c r="F859" s="1"/>
    </row>
    <row r="860" ht="15.75" customHeight="1">
      <c r="A860" s="1"/>
      <c r="B860" s="1"/>
      <c r="C860" s="1"/>
      <c r="D860" s="1"/>
      <c r="E860" s="1"/>
      <c r="F860" s="1"/>
    </row>
    <row r="861" ht="15.75" customHeight="1">
      <c r="A861" s="1"/>
      <c r="B861" s="1"/>
      <c r="C861" s="1"/>
      <c r="D861" s="1"/>
      <c r="E861" s="1"/>
      <c r="F861" s="1"/>
    </row>
    <row r="862" ht="15.75" customHeight="1">
      <c r="A862" s="1"/>
      <c r="B862" s="1"/>
      <c r="C862" s="1"/>
      <c r="D862" s="1"/>
      <c r="E862" s="1"/>
      <c r="F862" s="1"/>
    </row>
    <row r="863" ht="15.75" customHeight="1">
      <c r="A863" s="1"/>
      <c r="B863" s="1"/>
      <c r="C863" s="1"/>
      <c r="D863" s="1"/>
      <c r="E863" s="1"/>
      <c r="F863" s="1"/>
    </row>
    <row r="864" ht="15.75" customHeight="1">
      <c r="A864" s="1"/>
      <c r="B864" s="1"/>
      <c r="C864" s="1"/>
      <c r="D864" s="1"/>
      <c r="E864" s="1"/>
      <c r="F864" s="1"/>
    </row>
    <row r="865" ht="15.75" customHeight="1">
      <c r="A865" s="1"/>
      <c r="B865" s="1"/>
      <c r="C865" s="1"/>
      <c r="D865" s="1"/>
      <c r="E865" s="1"/>
      <c r="F865" s="1"/>
    </row>
    <row r="866" ht="15.75" customHeight="1">
      <c r="A866" s="1"/>
      <c r="B866" s="1"/>
      <c r="C866" s="1"/>
      <c r="D866" s="1"/>
      <c r="E866" s="1"/>
      <c r="F866" s="1"/>
    </row>
    <row r="867" ht="15.75" customHeight="1">
      <c r="A867" s="1"/>
      <c r="B867" s="1"/>
      <c r="C867" s="1"/>
      <c r="D867" s="1"/>
      <c r="E867" s="1"/>
      <c r="F867" s="1"/>
    </row>
    <row r="868" ht="15.75" customHeight="1">
      <c r="A868" s="1"/>
      <c r="B868" s="1"/>
      <c r="C868" s="1"/>
      <c r="D868" s="1"/>
      <c r="E868" s="1"/>
      <c r="F868" s="1"/>
    </row>
    <row r="869" ht="15.75" customHeight="1">
      <c r="A869" s="1"/>
      <c r="B869" s="1"/>
      <c r="C869" s="1"/>
      <c r="D869" s="1"/>
      <c r="E869" s="1"/>
      <c r="F869" s="1"/>
    </row>
    <row r="870" ht="15.75" customHeight="1">
      <c r="A870" s="1"/>
      <c r="B870" s="1"/>
      <c r="C870" s="1"/>
      <c r="D870" s="1"/>
      <c r="E870" s="1"/>
      <c r="F870" s="1"/>
    </row>
    <row r="871" ht="15.75" customHeight="1">
      <c r="A871" s="1"/>
      <c r="B871" s="1"/>
      <c r="C871" s="1"/>
      <c r="D871" s="1"/>
      <c r="E871" s="1"/>
      <c r="F871" s="1"/>
    </row>
    <row r="872" ht="15.75" customHeight="1">
      <c r="A872" s="1"/>
      <c r="B872" s="1"/>
      <c r="C872" s="1"/>
      <c r="D872" s="1"/>
      <c r="E872" s="1"/>
      <c r="F872" s="1"/>
    </row>
    <row r="873" ht="15.75" customHeight="1">
      <c r="A873" s="1"/>
      <c r="B873" s="1"/>
      <c r="C873" s="1"/>
      <c r="D873" s="1"/>
      <c r="E873" s="1"/>
      <c r="F873" s="1"/>
    </row>
    <row r="874" ht="15.75" customHeight="1">
      <c r="A874" s="1"/>
      <c r="B874" s="1"/>
      <c r="C874" s="1"/>
      <c r="D874" s="1"/>
      <c r="E874" s="1"/>
      <c r="F874" s="1"/>
    </row>
    <row r="875" ht="15.75" customHeight="1">
      <c r="A875" s="1"/>
      <c r="B875" s="1"/>
      <c r="C875" s="1"/>
      <c r="D875" s="1"/>
      <c r="E875" s="1"/>
      <c r="F875" s="1"/>
    </row>
    <row r="876" ht="15.75" customHeight="1">
      <c r="A876" s="1"/>
      <c r="B876" s="1"/>
      <c r="C876" s="1"/>
      <c r="D876" s="1"/>
      <c r="E876" s="1"/>
      <c r="F876" s="1"/>
    </row>
    <row r="877" ht="15.75" customHeight="1">
      <c r="A877" s="1"/>
      <c r="B877" s="1"/>
      <c r="C877" s="1"/>
      <c r="D877" s="1"/>
      <c r="E877" s="1"/>
      <c r="F877" s="1"/>
    </row>
    <row r="878" ht="15.75" customHeight="1">
      <c r="A878" s="1"/>
      <c r="B878" s="1"/>
      <c r="C878" s="1"/>
      <c r="D878" s="1"/>
      <c r="E878" s="1"/>
      <c r="F878" s="1"/>
    </row>
    <row r="879" ht="15.75" customHeight="1">
      <c r="A879" s="1"/>
      <c r="B879" s="1"/>
      <c r="C879" s="1"/>
      <c r="D879" s="1"/>
      <c r="E879" s="1"/>
      <c r="F879" s="1"/>
    </row>
    <row r="880" ht="15.75" customHeight="1">
      <c r="A880" s="1"/>
      <c r="B880" s="1"/>
      <c r="C880" s="1"/>
      <c r="D880" s="1"/>
      <c r="E880" s="1"/>
      <c r="F880" s="1"/>
    </row>
    <row r="881" ht="15.75" customHeight="1">
      <c r="A881" s="1"/>
      <c r="B881" s="1"/>
      <c r="C881" s="1"/>
      <c r="D881" s="1"/>
      <c r="E881" s="1"/>
      <c r="F881" s="1"/>
    </row>
    <row r="882" ht="15.75" customHeight="1">
      <c r="A882" s="1"/>
      <c r="B882" s="1"/>
      <c r="C882" s="1"/>
      <c r="D882" s="1"/>
      <c r="E882" s="1"/>
      <c r="F882" s="1"/>
    </row>
    <row r="883" ht="15.75" customHeight="1">
      <c r="A883" s="1"/>
      <c r="B883" s="1"/>
      <c r="C883" s="1"/>
      <c r="D883" s="1"/>
      <c r="E883" s="1"/>
      <c r="F883" s="1"/>
    </row>
    <row r="884" ht="15.75" customHeight="1">
      <c r="A884" s="1"/>
      <c r="B884" s="1"/>
      <c r="C884" s="1"/>
      <c r="D884" s="1"/>
      <c r="E884" s="1"/>
      <c r="F884" s="1"/>
    </row>
    <row r="885" ht="15.75" customHeight="1">
      <c r="A885" s="1"/>
      <c r="B885" s="1"/>
      <c r="C885" s="1"/>
      <c r="D885" s="1"/>
      <c r="E885" s="1"/>
      <c r="F885" s="1"/>
    </row>
    <row r="886" ht="15.75" customHeight="1">
      <c r="A886" s="1"/>
      <c r="B886" s="1"/>
      <c r="C886" s="1"/>
      <c r="D886" s="1"/>
      <c r="E886" s="1"/>
      <c r="F886" s="1"/>
    </row>
    <row r="887" ht="15.75" customHeight="1">
      <c r="A887" s="1"/>
      <c r="B887" s="1"/>
      <c r="C887" s="1"/>
      <c r="D887" s="1"/>
      <c r="E887" s="1"/>
      <c r="F887" s="1"/>
    </row>
    <row r="888" ht="15.75" customHeight="1">
      <c r="A888" s="1"/>
      <c r="B888" s="1"/>
      <c r="C888" s="1"/>
      <c r="D888" s="1"/>
      <c r="E888" s="1"/>
      <c r="F888" s="1"/>
    </row>
    <row r="889" ht="15.75" customHeight="1">
      <c r="A889" s="1"/>
      <c r="B889" s="1"/>
      <c r="C889" s="1"/>
      <c r="D889" s="1"/>
      <c r="E889" s="1"/>
      <c r="F889" s="1"/>
    </row>
    <row r="890" ht="15.75" customHeight="1">
      <c r="A890" s="1"/>
      <c r="B890" s="1"/>
      <c r="C890" s="1"/>
      <c r="D890" s="1"/>
      <c r="E890" s="1"/>
      <c r="F890" s="1"/>
    </row>
    <row r="891" ht="15.75" customHeight="1">
      <c r="A891" s="1"/>
      <c r="B891" s="1"/>
      <c r="C891" s="1"/>
      <c r="D891" s="1"/>
      <c r="E891" s="1"/>
      <c r="F891" s="1"/>
    </row>
    <row r="892" ht="15.75" customHeight="1">
      <c r="A892" s="1"/>
      <c r="B892" s="1"/>
      <c r="C892" s="1"/>
      <c r="D892" s="1"/>
      <c r="E892" s="1"/>
      <c r="F892" s="1"/>
    </row>
    <row r="893" ht="15.75" customHeight="1">
      <c r="A893" s="1"/>
      <c r="B893" s="1"/>
      <c r="C893" s="1"/>
      <c r="D893" s="1"/>
      <c r="E893" s="1"/>
      <c r="F893" s="1"/>
    </row>
    <row r="894" ht="15.75" customHeight="1">
      <c r="A894" s="1"/>
      <c r="B894" s="1"/>
      <c r="C894" s="1"/>
      <c r="D894" s="1"/>
      <c r="E894" s="1"/>
      <c r="F894" s="1"/>
    </row>
    <row r="895" ht="15.75" customHeight="1">
      <c r="A895" s="1"/>
      <c r="B895" s="1"/>
      <c r="C895" s="1"/>
      <c r="D895" s="1"/>
      <c r="E895" s="1"/>
      <c r="F895" s="1"/>
    </row>
    <row r="896" ht="15.75" customHeight="1">
      <c r="A896" s="1"/>
      <c r="B896" s="1"/>
      <c r="C896" s="1"/>
      <c r="D896" s="1"/>
      <c r="E896" s="1"/>
      <c r="F896" s="1"/>
    </row>
    <row r="897" ht="15.75" customHeight="1">
      <c r="A897" s="1"/>
      <c r="B897" s="1"/>
      <c r="C897" s="1"/>
      <c r="D897" s="1"/>
      <c r="E897" s="1"/>
      <c r="F897" s="1"/>
    </row>
    <row r="898" ht="15.75" customHeight="1">
      <c r="A898" s="1"/>
      <c r="B898" s="1"/>
      <c r="C898" s="1"/>
      <c r="D898" s="1"/>
      <c r="E898" s="1"/>
      <c r="F898" s="1"/>
    </row>
    <row r="899" ht="15.75" customHeight="1">
      <c r="A899" s="1"/>
      <c r="B899" s="1"/>
      <c r="C899" s="1"/>
      <c r="D899" s="1"/>
      <c r="E899" s="1"/>
      <c r="F899" s="1"/>
    </row>
    <row r="900" ht="15.75" customHeight="1">
      <c r="A900" s="1"/>
      <c r="B900" s="1"/>
      <c r="C900" s="1"/>
      <c r="D900" s="1"/>
      <c r="E900" s="1"/>
      <c r="F900" s="1"/>
    </row>
    <row r="901" ht="15.75" customHeight="1">
      <c r="A901" s="1"/>
      <c r="B901" s="1"/>
      <c r="C901" s="1"/>
      <c r="D901" s="1"/>
      <c r="E901" s="1"/>
      <c r="F901" s="1"/>
    </row>
    <row r="902" ht="15.75" customHeight="1">
      <c r="A902" s="1"/>
      <c r="B902" s="1"/>
      <c r="C902" s="1"/>
      <c r="D902" s="1"/>
      <c r="E902" s="1"/>
      <c r="F902" s="1"/>
    </row>
    <row r="903" ht="15.75" customHeight="1">
      <c r="A903" s="1"/>
      <c r="B903" s="1"/>
      <c r="C903" s="1"/>
      <c r="D903" s="1"/>
      <c r="E903" s="1"/>
      <c r="F903" s="1"/>
    </row>
    <row r="904" ht="15.75" customHeight="1">
      <c r="A904" s="1"/>
      <c r="B904" s="1"/>
      <c r="C904" s="1"/>
      <c r="D904" s="1"/>
      <c r="E904" s="1"/>
      <c r="F904" s="1"/>
    </row>
    <row r="905" ht="15.75" customHeight="1">
      <c r="A905" s="1"/>
      <c r="B905" s="1"/>
      <c r="C905" s="1"/>
      <c r="D905" s="1"/>
      <c r="E905" s="1"/>
      <c r="F905" s="1"/>
    </row>
    <row r="906" ht="15.75" customHeight="1">
      <c r="A906" s="1"/>
      <c r="B906" s="1"/>
      <c r="C906" s="1"/>
      <c r="D906" s="1"/>
      <c r="E906" s="1"/>
      <c r="F906" s="1"/>
    </row>
    <row r="907" ht="15.75" customHeight="1">
      <c r="A907" s="1"/>
      <c r="B907" s="1"/>
      <c r="C907" s="1"/>
      <c r="D907" s="1"/>
      <c r="E907" s="1"/>
      <c r="F907" s="1"/>
    </row>
    <row r="908" ht="15.75" customHeight="1">
      <c r="A908" s="1"/>
      <c r="B908" s="1"/>
      <c r="C908" s="1"/>
      <c r="D908" s="1"/>
      <c r="E908" s="1"/>
      <c r="F908" s="1"/>
    </row>
    <row r="909" ht="15.75" customHeight="1">
      <c r="A909" s="1"/>
      <c r="B909" s="1"/>
      <c r="C909" s="1"/>
      <c r="D909" s="1"/>
      <c r="E909" s="1"/>
      <c r="F909" s="1"/>
    </row>
    <row r="910" ht="15.75" customHeight="1">
      <c r="A910" s="1"/>
      <c r="B910" s="1"/>
      <c r="C910" s="1"/>
      <c r="D910" s="1"/>
      <c r="E910" s="1"/>
      <c r="F910" s="1"/>
    </row>
    <row r="911" ht="15.75" customHeight="1">
      <c r="A911" s="1"/>
      <c r="B911" s="1"/>
      <c r="C911" s="1"/>
      <c r="D911" s="1"/>
      <c r="E911" s="1"/>
      <c r="F911" s="1"/>
    </row>
    <row r="912" ht="15.75" customHeight="1">
      <c r="A912" s="1"/>
      <c r="B912" s="1"/>
      <c r="C912" s="1"/>
      <c r="D912" s="1"/>
      <c r="E912" s="1"/>
      <c r="F912" s="1"/>
    </row>
    <row r="913" ht="15.75" customHeight="1">
      <c r="A913" s="1"/>
      <c r="B913" s="1"/>
      <c r="C913" s="1"/>
      <c r="D913" s="1"/>
      <c r="E913" s="1"/>
      <c r="F913" s="1"/>
    </row>
    <row r="914" ht="15.75" customHeight="1">
      <c r="A914" s="1"/>
      <c r="B914" s="1"/>
      <c r="C914" s="1"/>
      <c r="D914" s="1"/>
      <c r="E914" s="1"/>
      <c r="F914" s="1"/>
    </row>
    <row r="915" ht="15.75" customHeight="1">
      <c r="A915" s="1"/>
      <c r="B915" s="1"/>
      <c r="C915" s="1"/>
      <c r="D915" s="1"/>
      <c r="E915" s="1"/>
      <c r="F915" s="1"/>
    </row>
    <row r="916" ht="15.75" customHeight="1">
      <c r="A916" s="1"/>
      <c r="B916" s="1"/>
      <c r="C916" s="1"/>
      <c r="D916" s="1"/>
      <c r="E916" s="1"/>
      <c r="F916" s="1"/>
    </row>
    <row r="917" ht="15.75" customHeight="1">
      <c r="A917" s="1"/>
      <c r="B917" s="1"/>
      <c r="C917" s="1"/>
      <c r="D917" s="1"/>
      <c r="E917" s="1"/>
      <c r="F917" s="1"/>
    </row>
    <row r="918" ht="15.75" customHeight="1">
      <c r="A918" s="1"/>
      <c r="B918" s="1"/>
      <c r="C918" s="1"/>
      <c r="D918" s="1"/>
      <c r="E918" s="1"/>
      <c r="F918" s="1"/>
    </row>
    <row r="919" ht="15.75" customHeight="1">
      <c r="A919" s="1"/>
      <c r="B919" s="1"/>
      <c r="C919" s="1"/>
      <c r="D919" s="1"/>
      <c r="E919" s="1"/>
      <c r="F919" s="1"/>
    </row>
    <row r="920" ht="15.75" customHeight="1">
      <c r="A920" s="1"/>
      <c r="B920" s="1"/>
      <c r="C920" s="1"/>
      <c r="D920" s="1"/>
      <c r="E920" s="1"/>
      <c r="F920" s="1"/>
    </row>
    <row r="921" ht="15.75" customHeight="1">
      <c r="A921" s="1"/>
      <c r="B921" s="1"/>
      <c r="C921" s="1"/>
      <c r="D921" s="1"/>
      <c r="E921" s="1"/>
      <c r="F921" s="1"/>
    </row>
    <row r="922" ht="15.75" customHeight="1">
      <c r="A922" s="1"/>
      <c r="B922" s="1"/>
      <c r="C922" s="1"/>
      <c r="D922" s="1"/>
      <c r="E922" s="1"/>
      <c r="F922" s="1"/>
    </row>
    <row r="923" ht="15.75" customHeight="1">
      <c r="A923" s="1"/>
      <c r="B923" s="1"/>
      <c r="C923" s="1"/>
      <c r="D923" s="1"/>
      <c r="E923" s="1"/>
      <c r="F923" s="1"/>
    </row>
    <row r="924" ht="15.75" customHeight="1">
      <c r="A924" s="1"/>
      <c r="B924" s="1"/>
      <c r="C924" s="1"/>
      <c r="D924" s="1"/>
      <c r="E924" s="1"/>
      <c r="F924" s="1"/>
    </row>
    <row r="925" ht="15.75" customHeight="1">
      <c r="A925" s="1"/>
      <c r="B925" s="1"/>
      <c r="C925" s="1"/>
      <c r="D925" s="1"/>
      <c r="E925" s="1"/>
      <c r="F925" s="1"/>
    </row>
    <row r="926" ht="15.75" customHeight="1">
      <c r="A926" s="1"/>
      <c r="B926" s="1"/>
      <c r="C926" s="1"/>
      <c r="D926" s="1"/>
      <c r="E926" s="1"/>
      <c r="F926" s="1"/>
    </row>
    <row r="927" ht="15.75" customHeight="1">
      <c r="A927" s="1"/>
      <c r="B927" s="1"/>
      <c r="C927" s="1"/>
      <c r="D927" s="1"/>
      <c r="E927" s="1"/>
      <c r="F927" s="1"/>
    </row>
    <row r="928" ht="15.75" customHeight="1">
      <c r="A928" s="1"/>
      <c r="B928" s="1"/>
      <c r="C928" s="1"/>
      <c r="D928" s="1"/>
      <c r="E928" s="1"/>
      <c r="F928" s="1"/>
    </row>
    <row r="929" ht="15.75" customHeight="1">
      <c r="A929" s="1"/>
      <c r="B929" s="1"/>
      <c r="C929" s="1"/>
      <c r="D929" s="1"/>
      <c r="E929" s="1"/>
      <c r="F929" s="1"/>
    </row>
    <row r="930" ht="15.75" customHeight="1">
      <c r="A930" s="1"/>
      <c r="B930" s="1"/>
      <c r="C930" s="1"/>
      <c r="D930" s="1"/>
      <c r="E930" s="1"/>
      <c r="F930" s="1"/>
    </row>
    <row r="931" ht="15.75" customHeight="1">
      <c r="A931" s="1"/>
      <c r="B931" s="1"/>
      <c r="C931" s="1"/>
      <c r="D931" s="1"/>
      <c r="E931" s="1"/>
      <c r="F931" s="1"/>
    </row>
    <row r="932" ht="15.75" customHeight="1">
      <c r="A932" s="1"/>
      <c r="B932" s="1"/>
      <c r="C932" s="1"/>
      <c r="D932" s="1"/>
      <c r="E932" s="1"/>
      <c r="F932" s="1"/>
    </row>
    <row r="933" ht="15.75" customHeight="1">
      <c r="A933" s="1"/>
      <c r="B933" s="1"/>
      <c r="C933" s="1"/>
      <c r="D933" s="1"/>
      <c r="E933" s="1"/>
      <c r="F933" s="1"/>
    </row>
    <row r="934" ht="15.75" customHeight="1">
      <c r="A934" s="1"/>
      <c r="B934" s="1"/>
      <c r="C934" s="1"/>
      <c r="D934" s="1"/>
      <c r="E934" s="1"/>
      <c r="F934" s="1"/>
    </row>
    <row r="935" ht="15.75" customHeight="1">
      <c r="A935" s="1"/>
      <c r="B935" s="1"/>
      <c r="C935" s="1"/>
      <c r="D935" s="1"/>
      <c r="E935" s="1"/>
      <c r="F935" s="1"/>
    </row>
    <row r="936" ht="15.75" customHeight="1">
      <c r="A936" s="1"/>
      <c r="B936" s="1"/>
      <c r="C936" s="1"/>
      <c r="D936" s="1"/>
      <c r="E936" s="1"/>
      <c r="F936" s="1"/>
    </row>
    <row r="937" ht="15.75" customHeight="1">
      <c r="A937" s="1"/>
      <c r="B937" s="1"/>
      <c r="C937" s="1"/>
      <c r="D937" s="1"/>
      <c r="E937" s="1"/>
      <c r="F937" s="1"/>
    </row>
    <row r="938" ht="15.75" customHeight="1">
      <c r="A938" s="1"/>
      <c r="B938" s="1"/>
      <c r="C938" s="1"/>
      <c r="D938" s="1"/>
      <c r="E938" s="1"/>
      <c r="F938" s="1"/>
    </row>
    <row r="939" ht="15.75" customHeight="1">
      <c r="A939" s="1"/>
      <c r="B939" s="1"/>
      <c r="C939" s="1"/>
      <c r="D939" s="1"/>
      <c r="E939" s="1"/>
      <c r="F939" s="1"/>
    </row>
    <row r="940" ht="15.75" customHeight="1">
      <c r="A940" s="1"/>
      <c r="B940" s="1"/>
      <c r="C940" s="1"/>
      <c r="D940" s="1"/>
      <c r="E940" s="1"/>
      <c r="F940" s="1"/>
    </row>
    <row r="941" ht="15.75" customHeight="1">
      <c r="A941" s="1"/>
      <c r="B941" s="1"/>
      <c r="C941" s="1"/>
      <c r="D941" s="1"/>
      <c r="E941" s="1"/>
      <c r="F941" s="1"/>
    </row>
    <row r="942" ht="15.75" customHeight="1">
      <c r="A942" s="1"/>
      <c r="B942" s="1"/>
      <c r="C942" s="1"/>
      <c r="D942" s="1"/>
      <c r="E942" s="1"/>
      <c r="F942" s="1"/>
    </row>
    <row r="943" ht="15.75" customHeight="1">
      <c r="A943" s="1"/>
      <c r="B943" s="1"/>
      <c r="C943" s="1"/>
      <c r="D943" s="1"/>
      <c r="E943" s="1"/>
      <c r="F943" s="1"/>
    </row>
    <row r="944" ht="15.75" customHeight="1">
      <c r="A944" s="1"/>
      <c r="B944" s="1"/>
      <c r="C944" s="1"/>
      <c r="D944" s="1"/>
      <c r="E944" s="1"/>
      <c r="F944" s="1"/>
    </row>
    <row r="945" ht="15.75" customHeight="1">
      <c r="A945" s="1"/>
      <c r="B945" s="1"/>
      <c r="C945" s="1"/>
      <c r="D945" s="1"/>
      <c r="E945" s="1"/>
      <c r="F945" s="1"/>
    </row>
    <row r="946" ht="15.75" customHeight="1">
      <c r="A946" s="1"/>
      <c r="B946" s="1"/>
      <c r="C946" s="1"/>
      <c r="D946" s="1"/>
      <c r="E946" s="1"/>
      <c r="F946" s="1"/>
    </row>
    <row r="947" ht="15.75" customHeight="1">
      <c r="A947" s="1"/>
      <c r="B947" s="1"/>
      <c r="C947" s="1"/>
      <c r="D947" s="1"/>
      <c r="E947" s="1"/>
      <c r="F947" s="1"/>
    </row>
    <row r="948" ht="15.75" customHeight="1">
      <c r="A948" s="1"/>
      <c r="B948" s="1"/>
      <c r="C948" s="1"/>
      <c r="D948" s="1"/>
      <c r="E948" s="1"/>
      <c r="F948" s="1"/>
    </row>
    <row r="949" ht="15.75" customHeight="1">
      <c r="A949" s="1"/>
      <c r="B949" s="1"/>
      <c r="C949" s="1"/>
      <c r="D949" s="1"/>
      <c r="E949" s="1"/>
      <c r="F949" s="1"/>
    </row>
    <row r="950" ht="15.75" customHeight="1">
      <c r="A950" s="1"/>
      <c r="B950" s="1"/>
      <c r="C950" s="1"/>
      <c r="D950" s="1"/>
      <c r="E950" s="1"/>
      <c r="F950" s="1"/>
    </row>
    <row r="951" ht="15.75" customHeight="1">
      <c r="A951" s="1"/>
      <c r="B951" s="1"/>
      <c r="C951" s="1"/>
      <c r="D951" s="1"/>
      <c r="E951" s="1"/>
      <c r="F951" s="1"/>
    </row>
    <row r="952" ht="15.75" customHeight="1">
      <c r="A952" s="1"/>
      <c r="B952" s="1"/>
      <c r="C952" s="1"/>
      <c r="D952" s="1"/>
      <c r="E952" s="1"/>
      <c r="F952" s="1"/>
    </row>
    <row r="953" ht="15.75" customHeight="1">
      <c r="A953" s="1"/>
      <c r="B953" s="1"/>
      <c r="C953" s="1"/>
      <c r="D953" s="1"/>
      <c r="E953" s="1"/>
      <c r="F953" s="1"/>
    </row>
    <row r="954" ht="15.75" customHeight="1">
      <c r="A954" s="1"/>
      <c r="B954" s="1"/>
      <c r="C954" s="1"/>
      <c r="D954" s="1"/>
      <c r="E954" s="1"/>
      <c r="F954" s="1"/>
    </row>
    <row r="955" ht="15.75" customHeight="1">
      <c r="A955" s="1"/>
      <c r="B955" s="1"/>
      <c r="C955" s="1"/>
      <c r="D955" s="1"/>
      <c r="E955" s="1"/>
      <c r="F955" s="1"/>
    </row>
    <row r="956" ht="15.75" customHeight="1">
      <c r="A956" s="1"/>
      <c r="B956" s="1"/>
      <c r="C956" s="1"/>
      <c r="D956" s="1"/>
      <c r="E956" s="1"/>
      <c r="F956" s="1"/>
    </row>
    <row r="957" ht="15.75" customHeight="1">
      <c r="A957" s="1"/>
      <c r="B957" s="1"/>
      <c r="C957" s="1"/>
      <c r="D957" s="1"/>
      <c r="E957" s="1"/>
      <c r="F957" s="1"/>
    </row>
    <row r="958" ht="15.75" customHeight="1">
      <c r="A958" s="1"/>
      <c r="B958" s="1"/>
      <c r="C958" s="1"/>
      <c r="D958" s="1"/>
      <c r="E958" s="1"/>
      <c r="F958" s="1"/>
    </row>
    <row r="959" ht="15.75" customHeight="1">
      <c r="A959" s="1"/>
      <c r="B959" s="1"/>
      <c r="C959" s="1"/>
      <c r="D959" s="1"/>
      <c r="E959" s="1"/>
      <c r="F959" s="1"/>
    </row>
    <row r="960" ht="15.75" customHeight="1">
      <c r="A960" s="1"/>
      <c r="B960" s="1"/>
      <c r="C960" s="1"/>
      <c r="D960" s="1"/>
      <c r="E960" s="1"/>
      <c r="F960" s="1"/>
    </row>
    <row r="961" ht="15.75" customHeight="1">
      <c r="A961" s="1"/>
      <c r="B961" s="1"/>
      <c r="C961" s="1"/>
      <c r="D961" s="1"/>
      <c r="E961" s="1"/>
      <c r="F961" s="1"/>
    </row>
    <row r="962" ht="15.75" customHeight="1">
      <c r="A962" s="1"/>
      <c r="B962" s="1"/>
      <c r="C962" s="1"/>
      <c r="D962" s="1"/>
      <c r="E962" s="1"/>
      <c r="F962" s="1"/>
    </row>
    <row r="963" ht="15.75" customHeight="1">
      <c r="A963" s="1"/>
      <c r="B963" s="1"/>
      <c r="C963" s="1"/>
      <c r="D963" s="1"/>
      <c r="E963" s="1"/>
      <c r="F963" s="1"/>
    </row>
    <row r="964" ht="15.75" customHeight="1">
      <c r="A964" s="1"/>
      <c r="B964" s="1"/>
      <c r="C964" s="1"/>
      <c r="D964" s="1"/>
      <c r="E964" s="1"/>
      <c r="F964" s="1"/>
    </row>
    <row r="965" ht="15.75" customHeight="1">
      <c r="A965" s="1"/>
      <c r="B965" s="1"/>
      <c r="C965" s="1"/>
      <c r="D965" s="1"/>
      <c r="E965" s="1"/>
      <c r="F965" s="1"/>
    </row>
    <row r="966" ht="15.75" customHeight="1">
      <c r="A966" s="1"/>
      <c r="B966" s="1"/>
      <c r="C966" s="1"/>
      <c r="D966" s="1"/>
      <c r="E966" s="1"/>
      <c r="F966" s="1"/>
    </row>
    <row r="967" ht="15.75" customHeight="1">
      <c r="A967" s="1"/>
      <c r="B967" s="1"/>
      <c r="C967" s="1"/>
      <c r="D967" s="1"/>
      <c r="E967" s="1"/>
      <c r="F967" s="1"/>
    </row>
    <row r="968" ht="15.75" customHeight="1">
      <c r="A968" s="1"/>
      <c r="B968" s="1"/>
      <c r="C968" s="1"/>
      <c r="D968" s="1"/>
      <c r="E968" s="1"/>
      <c r="F968" s="1"/>
    </row>
    <row r="969" ht="15.75" customHeight="1">
      <c r="A969" s="1"/>
      <c r="B969" s="1"/>
      <c r="C969" s="1"/>
      <c r="D969" s="1"/>
      <c r="E969" s="1"/>
      <c r="F969" s="1"/>
    </row>
    <row r="970" ht="15.75" customHeight="1">
      <c r="A970" s="1"/>
      <c r="B970" s="1"/>
      <c r="C970" s="1"/>
      <c r="D970" s="1"/>
      <c r="E970" s="1"/>
      <c r="F970" s="1"/>
    </row>
    <row r="971" ht="15.75" customHeight="1">
      <c r="A971" s="1"/>
      <c r="B971" s="1"/>
      <c r="C971" s="1"/>
      <c r="D971" s="1"/>
      <c r="E971" s="1"/>
      <c r="F971" s="1"/>
    </row>
    <row r="972" ht="15.75" customHeight="1">
      <c r="A972" s="1"/>
      <c r="B972" s="1"/>
      <c r="C972" s="1"/>
      <c r="D972" s="1"/>
      <c r="E972" s="1"/>
      <c r="F972" s="1"/>
    </row>
    <row r="973" ht="15.75" customHeight="1">
      <c r="A973" s="1"/>
      <c r="B973" s="1"/>
      <c r="C973" s="1"/>
      <c r="D973" s="1"/>
      <c r="E973" s="1"/>
      <c r="F973" s="1"/>
    </row>
    <row r="974" ht="15.75" customHeight="1">
      <c r="A974" s="1"/>
      <c r="B974" s="1"/>
      <c r="C974" s="1"/>
      <c r="D974" s="1"/>
      <c r="E974" s="1"/>
      <c r="F974" s="1"/>
    </row>
    <row r="975" ht="15.75" customHeight="1">
      <c r="A975" s="1"/>
      <c r="B975" s="1"/>
      <c r="C975" s="1"/>
      <c r="D975" s="1"/>
      <c r="E975" s="1"/>
      <c r="F975" s="1"/>
    </row>
    <row r="976" ht="15.75" customHeight="1">
      <c r="A976" s="1"/>
      <c r="B976" s="1"/>
      <c r="C976" s="1"/>
      <c r="D976" s="1"/>
      <c r="E976" s="1"/>
      <c r="F976" s="1"/>
    </row>
    <row r="977" ht="15.75" customHeight="1">
      <c r="A977" s="1"/>
      <c r="B977" s="1"/>
      <c r="C977" s="1"/>
      <c r="D977" s="1"/>
      <c r="E977" s="1"/>
      <c r="F977" s="1"/>
    </row>
    <row r="978" ht="15.75" customHeight="1">
      <c r="A978" s="1"/>
      <c r="B978" s="1"/>
      <c r="C978" s="1"/>
      <c r="D978" s="1"/>
      <c r="E978" s="1"/>
      <c r="F978" s="1"/>
    </row>
    <row r="979" ht="15.75" customHeight="1">
      <c r="A979" s="1"/>
      <c r="B979" s="1"/>
      <c r="C979" s="1"/>
      <c r="D979" s="1"/>
      <c r="E979" s="1"/>
      <c r="F979" s="1"/>
    </row>
    <row r="980" ht="15.75" customHeight="1">
      <c r="A980" s="1"/>
      <c r="B980" s="1"/>
      <c r="C980" s="1"/>
      <c r="D980" s="1"/>
      <c r="E980" s="1"/>
      <c r="F980" s="1"/>
    </row>
    <row r="981" ht="15.75" customHeight="1">
      <c r="A981" s="1"/>
      <c r="B981" s="1"/>
      <c r="C981" s="1"/>
      <c r="D981" s="1"/>
      <c r="E981" s="1"/>
      <c r="F981" s="1"/>
    </row>
    <row r="982" ht="15.75" customHeight="1">
      <c r="A982" s="1"/>
      <c r="B982" s="1"/>
      <c r="C982" s="1"/>
      <c r="D982" s="1"/>
      <c r="E982" s="1"/>
      <c r="F982" s="1"/>
    </row>
    <row r="983" ht="15.75" customHeight="1">
      <c r="A983" s="1"/>
      <c r="B983" s="1"/>
      <c r="C983" s="1"/>
      <c r="D983" s="1"/>
      <c r="E983" s="1"/>
      <c r="F983" s="1"/>
    </row>
    <row r="984" ht="15.75" customHeight="1">
      <c r="A984" s="1"/>
      <c r="B984" s="1"/>
      <c r="C984" s="1"/>
      <c r="D984" s="1"/>
      <c r="E984" s="1"/>
      <c r="F984" s="1"/>
    </row>
    <row r="985" ht="15.75" customHeight="1">
      <c r="A985" s="1"/>
      <c r="B985" s="1"/>
      <c r="C985" s="1"/>
      <c r="D985" s="1"/>
      <c r="E985" s="1"/>
      <c r="F985" s="1"/>
    </row>
    <row r="986" ht="15.75" customHeight="1">
      <c r="A986" s="1"/>
      <c r="B986" s="1"/>
      <c r="C986" s="1"/>
      <c r="D986" s="1"/>
      <c r="E986" s="1"/>
      <c r="F986" s="1"/>
    </row>
    <row r="987" ht="15.75" customHeight="1">
      <c r="A987" s="1"/>
      <c r="B987" s="1"/>
      <c r="C987" s="1"/>
      <c r="D987" s="1"/>
      <c r="E987" s="1"/>
      <c r="F987" s="1"/>
    </row>
    <row r="988" ht="15.75" customHeight="1">
      <c r="A988" s="1"/>
      <c r="B988" s="1"/>
      <c r="C988" s="1"/>
      <c r="D988" s="1"/>
      <c r="E988" s="1"/>
      <c r="F988" s="1"/>
    </row>
    <row r="989" ht="15.75" customHeight="1">
      <c r="A989" s="1"/>
      <c r="B989" s="1"/>
      <c r="C989" s="1"/>
      <c r="D989" s="1"/>
      <c r="E989" s="1"/>
      <c r="F989" s="1"/>
    </row>
    <row r="990" ht="15.75" customHeight="1">
      <c r="A990" s="1"/>
      <c r="B990" s="1"/>
      <c r="C990" s="1"/>
      <c r="D990" s="1"/>
      <c r="E990" s="1"/>
      <c r="F990" s="1"/>
    </row>
    <row r="991" ht="15.75" customHeight="1">
      <c r="A991" s="1"/>
      <c r="B991" s="1"/>
      <c r="C991" s="1"/>
      <c r="D991" s="1"/>
      <c r="E991" s="1"/>
      <c r="F991" s="1"/>
    </row>
    <row r="992" ht="15.75" customHeight="1">
      <c r="A992" s="1"/>
      <c r="B992" s="1"/>
      <c r="C992" s="1"/>
      <c r="D992" s="1"/>
      <c r="E992" s="1"/>
      <c r="F992" s="1"/>
    </row>
    <row r="993" ht="15.75" customHeight="1">
      <c r="A993" s="1"/>
      <c r="B993" s="1"/>
      <c r="C993" s="1"/>
      <c r="D993" s="1"/>
      <c r="E993" s="1"/>
      <c r="F993" s="1"/>
    </row>
    <row r="994" ht="15.75" customHeight="1">
      <c r="A994" s="1"/>
      <c r="B994" s="1"/>
      <c r="C994" s="1"/>
      <c r="D994" s="1"/>
      <c r="E994" s="1"/>
      <c r="F994" s="1"/>
    </row>
    <row r="995" ht="15.75" customHeight="1">
      <c r="A995" s="1"/>
      <c r="B995" s="1"/>
      <c r="C995" s="1"/>
      <c r="D995" s="1"/>
      <c r="E995" s="1"/>
      <c r="F995" s="1"/>
    </row>
    <row r="996" ht="15.75" customHeight="1">
      <c r="A996" s="1"/>
      <c r="B996" s="1"/>
      <c r="C996" s="1"/>
      <c r="D996" s="1"/>
      <c r="E996" s="1"/>
      <c r="F996" s="1"/>
    </row>
    <row r="997" ht="15.75" customHeight="1">
      <c r="A997" s="1"/>
      <c r="B997" s="1"/>
      <c r="C997" s="1"/>
      <c r="D997" s="1"/>
      <c r="E997" s="1"/>
      <c r="F997" s="1"/>
    </row>
    <row r="998" ht="15.75" customHeight="1">
      <c r="A998" s="1"/>
      <c r="B998" s="1"/>
      <c r="C998" s="1"/>
      <c r="D998" s="1"/>
      <c r="E998" s="1"/>
      <c r="F998" s="1"/>
    </row>
    <row r="999" ht="15.75" customHeight="1">
      <c r="A999" s="1"/>
      <c r="B999" s="1"/>
      <c r="C999" s="1"/>
      <c r="D999" s="1"/>
      <c r="E999" s="1"/>
      <c r="F999" s="1"/>
    </row>
    <row r="1000" ht="15.75" customHeight="1">
      <c r="A1000" s="1"/>
      <c r="B1000" s="1"/>
      <c r="C1000" s="1"/>
      <c r="D1000" s="1"/>
      <c r="E1000" s="1"/>
      <c r="F1000" s="1"/>
    </row>
  </sheetData>
  <mergeCells count="3">
    <mergeCell ref="B3:P4"/>
    <mergeCell ref="B5:P6"/>
    <mergeCell ref="B7:P7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75"/>
    <col customWidth="1" min="2" max="2" width="10.13"/>
    <col customWidth="1" min="3" max="3" width="11.0"/>
    <col customWidth="1" min="4" max="4" width="20.13"/>
    <col customWidth="1" min="5" max="5" width="21.13"/>
    <col customWidth="1" min="6" max="6" width="17.38"/>
    <col customWidth="1" min="7" max="7" width="18.13"/>
    <col customWidth="1" min="8" max="8" width="16.88"/>
    <col customWidth="1" min="9" max="9" width="19.13"/>
    <col customWidth="1" min="10" max="12" width="18.38"/>
    <col customWidth="1" min="14" max="14" width="13.38"/>
  </cols>
  <sheetData>
    <row r="1" ht="12.75" customHeight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2.75" customHeight="1">
      <c r="A2" s="7"/>
      <c r="B2" s="8" t="s">
        <v>15</v>
      </c>
      <c r="C2" s="9"/>
      <c r="D2" s="9"/>
      <c r="E2" s="9"/>
      <c r="F2" s="10"/>
      <c r="G2" s="11" t="s">
        <v>16</v>
      </c>
      <c r="H2" s="12"/>
      <c r="I2" s="13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7"/>
      <c r="B3" s="14" t="s">
        <v>17</v>
      </c>
      <c r="C3" s="14" t="s">
        <v>18</v>
      </c>
      <c r="D3" s="15" t="s">
        <v>19</v>
      </c>
      <c r="E3" s="15" t="s">
        <v>20</v>
      </c>
      <c r="F3" s="15" t="s">
        <v>21</v>
      </c>
      <c r="G3" s="14" t="s">
        <v>22</v>
      </c>
      <c r="H3" s="14" t="s">
        <v>23</v>
      </c>
      <c r="I3" s="13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2.75" customHeight="1">
      <c r="A4" s="7"/>
      <c r="B4" s="16">
        <v>45657.0</v>
      </c>
      <c r="C4" s="17" t="s">
        <v>24</v>
      </c>
      <c r="D4" s="18">
        <v>2206.0</v>
      </c>
      <c r="E4" s="19">
        <v>48.6092</v>
      </c>
      <c r="F4" s="20">
        <f>E4*D4</f>
        <v>107231.8952</v>
      </c>
      <c r="G4" s="21">
        <v>9.2888</v>
      </c>
      <c r="H4" s="22">
        <f>G4*D4</f>
        <v>20491.0928</v>
      </c>
      <c r="I4" s="23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2.75" customHeight="1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2.75" customHeight="1">
      <c r="A6" s="7"/>
      <c r="B6" s="8" t="s">
        <v>25</v>
      </c>
      <c r="C6" s="9"/>
      <c r="D6" s="9"/>
      <c r="E6" s="9"/>
      <c r="F6" s="9"/>
      <c r="G6" s="9"/>
      <c r="H6" s="9"/>
      <c r="I6" s="12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2.75" customHeight="1">
      <c r="A7" s="7"/>
      <c r="B7" s="14" t="s">
        <v>17</v>
      </c>
      <c r="C7" s="14" t="s">
        <v>18</v>
      </c>
      <c r="D7" s="15" t="s">
        <v>26</v>
      </c>
      <c r="E7" s="15" t="s">
        <v>27</v>
      </c>
      <c r="F7" s="15" t="s">
        <v>28</v>
      </c>
      <c r="G7" s="14" t="s">
        <v>29</v>
      </c>
      <c r="H7" s="14" t="s">
        <v>30</v>
      </c>
      <c r="I7" s="14" t="s">
        <v>31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2.75" customHeight="1">
      <c r="A8" s="7"/>
      <c r="B8" s="16">
        <v>45660.0</v>
      </c>
      <c r="C8" s="17" t="s">
        <v>32</v>
      </c>
      <c r="D8" s="18">
        <v>353.0</v>
      </c>
      <c r="E8" s="22">
        <v>10.63</v>
      </c>
      <c r="F8" s="24">
        <f t="array" ref="F8">IFERROR(XLOOKUP(B8,aux_ptax_historical_data!B:B,aux_ptax_historical_data!E:E),"")</f>
        <v>6.1563</v>
      </c>
      <c r="G8" s="25">
        <f t="shared" ref="G8:G11" si="1">ROUND(E8*F8,2)</f>
        <v>65.44</v>
      </c>
      <c r="H8" s="25">
        <f t="shared" ref="H8:H11" si="2">D8*G8</f>
        <v>23100.32</v>
      </c>
      <c r="I8" s="25">
        <f t="shared" ref="I8:I11" si="3">D8*E8</f>
        <v>3752.39</v>
      </c>
      <c r="J8" s="7"/>
      <c r="K8" s="7"/>
      <c r="L8" s="7"/>
      <c r="M8" s="7"/>
      <c r="N8" s="26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2.75" customHeight="1">
      <c r="A9" s="7"/>
      <c r="B9" s="16">
        <v>45748.0</v>
      </c>
      <c r="C9" s="17" t="s">
        <v>32</v>
      </c>
      <c r="D9" s="18">
        <v>490.0</v>
      </c>
      <c r="E9" s="22">
        <v>10.43</v>
      </c>
      <c r="F9" s="24">
        <f t="array" ref="F9">IFERROR(XLOOKUP(B9,aux_ptax_historical_data!B:B,aux_ptax_historical_data!E:E),"")</f>
        <v>5.7051</v>
      </c>
      <c r="G9" s="25">
        <f t="shared" si="1"/>
        <v>59.5</v>
      </c>
      <c r="H9" s="25">
        <f t="shared" si="2"/>
        <v>29155</v>
      </c>
      <c r="I9" s="25">
        <f t="shared" si="3"/>
        <v>5110.7</v>
      </c>
      <c r="J9" s="7"/>
      <c r="K9" s="7"/>
      <c r="L9" s="7"/>
      <c r="M9" s="7"/>
      <c r="N9" s="26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2.75" customHeight="1">
      <c r="A10" s="7"/>
      <c r="B10" s="16">
        <v>45839.0</v>
      </c>
      <c r="C10" s="17" t="s">
        <v>32</v>
      </c>
      <c r="D10" s="18">
        <v>490.0</v>
      </c>
      <c r="E10" s="22">
        <v>13.64</v>
      </c>
      <c r="F10" s="24">
        <f t="array" ref="F10">IFERROR(XLOOKUP(B10,aux_ptax_historical_data!B:B,aux_ptax_historical_data!E:E),"")</f>
        <v>5.4511</v>
      </c>
      <c r="G10" s="25">
        <f t="shared" si="1"/>
        <v>74.35</v>
      </c>
      <c r="H10" s="25">
        <f t="shared" si="2"/>
        <v>36431.5</v>
      </c>
      <c r="I10" s="25">
        <f t="shared" si="3"/>
        <v>6683.6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2.75" customHeight="1">
      <c r="A11" s="7"/>
      <c r="B11" s="16">
        <v>45931.0</v>
      </c>
      <c r="C11" s="17" t="s">
        <v>32</v>
      </c>
      <c r="D11" s="18">
        <v>490.0</v>
      </c>
      <c r="E11" s="22">
        <v>15.19</v>
      </c>
      <c r="F11" s="24">
        <f t="array" ref="F11">IFERROR(XLOOKUP(B11,aux_ptax_historical_data!B:B,aux_ptax_historical_data!E:E),"")</f>
        <v>5.3208</v>
      </c>
      <c r="G11" s="25">
        <f t="shared" si="1"/>
        <v>80.82</v>
      </c>
      <c r="H11" s="25">
        <f t="shared" si="2"/>
        <v>39601.8</v>
      </c>
      <c r="I11" s="25">
        <f t="shared" si="3"/>
        <v>7443.1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2.75" customHeight="1">
      <c r="A12" s="7"/>
      <c r="B12" s="27" t="s">
        <v>33</v>
      </c>
      <c r="C12" s="28"/>
      <c r="D12" s="29">
        <f>SUM(D8:D11)</f>
        <v>1823</v>
      </c>
      <c r="E12" s="28"/>
      <c r="F12" s="28"/>
      <c r="G12" s="28"/>
      <c r="H12" s="30">
        <f t="shared" ref="H12:I12" si="4">SUM(H8:H11)</f>
        <v>128288.62</v>
      </c>
      <c r="I12" s="30">
        <f t="shared" si="4"/>
        <v>22989.79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2.7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2.75" customHeight="1">
      <c r="A14" s="7"/>
      <c r="B14" s="8" t="s">
        <v>34</v>
      </c>
      <c r="C14" s="9"/>
      <c r="D14" s="9"/>
      <c r="E14" s="9"/>
      <c r="F14" s="9"/>
      <c r="G14" s="9"/>
      <c r="H14" s="12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2.75" customHeight="1">
      <c r="A15" s="7"/>
      <c r="B15" s="14" t="s">
        <v>17</v>
      </c>
      <c r="C15" s="14" t="s">
        <v>18</v>
      </c>
      <c r="D15" s="15" t="s">
        <v>35</v>
      </c>
      <c r="E15" s="15" t="s">
        <v>36</v>
      </c>
      <c r="F15" s="15" t="s">
        <v>37</v>
      </c>
      <c r="G15" s="15" t="s">
        <v>29</v>
      </c>
      <c r="H15" s="15" t="s">
        <v>30</v>
      </c>
      <c r="I15" s="31"/>
      <c r="J15" s="31"/>
      <c r="K15" s="31"/>
      <c r="L15" s="31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2.75" customHeight="1">
      <c r="A16" s="7"/>
      <c r="B16" s="32">
        <v>45897.0</v>
      </c>
      <c r="C16" s="33" t="str">
        <f t="shared" ref="C16:C20" si="5">IF(B16="","","Venda")</f>
        <v>Venda</v>
      </c>
      <c r="D16" s="34">
        <v>1000.0</v>
      </c>
      <c r="E16" s="35">
        <v>15.0242</v>
      </c>
      <c r="F16" s="36">
        <f t="array" ref="F16">IFERROR(XLOOKUP(B16,aux_ptax_historical_data!B:B,aux_ptax_historical_data!D:D),"")</f>
        <v>5.4109</v>
      </c>
      <c r="G16" s="37">
        <f t="shared" ref="G16:G25" si="6">IF(B16="","",ROUND(E16*F16,2))</f>
        <v>81.29</v>
      </c>
      <c r="H16" s="37">
        <f t="shared" ref="H16:H25" si="7">IF(B16="","",D16*G16)</f>
        <v>81290</v>
      </c>
      <c r="I16" s="38"/>
      <c r="J16" s="39"/>
      <c r="K16" s="39"/>
      <c r="L16" s="38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2.75" customHeight="1">
      <c r="A17" s="7"/>
      <c r="B17" s="32">
        <v>45915.0</v>
      </c>
      <c r="C17" s="33" t="str">
        <f t="shared" si="5"/>
        <v>Venda</v>
      </c>
      <c r="D17" s="34">
        <v>500.0</v>
      </c>
      <c r="E17" s="35">
        <v>16.0</v>
      </c>
      <c r="F17" s="36">
        <f t="array" ref="F17">IFERROR(XLOOKUP(B17,aux_ptax_historical_data!B:B,aux_ptax_historical_data!D:D),"")</f>
        <v>5.3202</v>
      </c>
      <c r="G17" s="37">
        <f t="shared" si="6"/>
        <v>85.12</v>
      </c>
      <c r="H17" s="37">
        <f t="shared" si="7"/>
        <v>42560</v>
      </c>
      <c r="I17" s="38"/>
      <c r="J17" s="39"/>
      <c r="K17" s="39"/>
      <c r="L17" s="38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2.75" customHeight="1">
      <c r="A18" s="7"/>
      <c r="B18" s="32">
        <v>45987.0</v>
      </c>
      <c r="C18" s="33" t="str">
        <f t="shared" si="5"/>
        <v>Venda</v>
      </c>
      <c r="D18" s="34">
        <v>500.0</v>
      </c>
      <c r="E18" s="35">
        <v>17.0</v>
      </c>
      <c r="F18" s="36">
        <f t="array" ref="F18">IFERROR(XLOOKUP(B18,aux_ptax_historical_data!B:B,aux_ptax_historical_data!D:D),"")</f>
        <v>5.3688</v>
      </c>
      <c r="G18" s="37">
        <f t="shared" si="6"/>
        <v>91.27</v>
      </c>
      <c r="H18" s="37">
        <f t="shared" si="7"/>
        <v>45635</v>
      </c>
      <c r="I18" s="38"/>
      <c r="J18" s="39"/>
      <c r="K18" s="39"/>
      <c r="L18" s="38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2.75" customHeight="1">
      <c r="A19" s="7"/>
      <c r="B19" s="32">
        <v>45989.0</v>
      </c>
      <c r="C19" s="33" t="str">
        <f t="shared" si="5"/>
        <v>Venda</v>
      </c>
      <c r="D19" s="34">
        <v>500.0</v>
      </c>
      <c r="E19" s="35">
        <v>17.5441</v>
      </c>
      <c r="F19" s="36">
        <f t="array" ref="F19">IFERROR(XLOOKUP(B19,aux_ptax_historical_data!B:B,aux_ptax_historical_data!D:D),"")</f>
        <v>5.3332</v>
      </c>
      <c r="G19" s="37">
        <f t="shared" si="6"/>
        <v>93.57</v>
      </c>
      <c r="H19" s="37">
        <f t="shared" si="7"/>
        <v>46785</v>
      </c>
      <c r="I19" s="38"/>
      <c r="J19" s="39"/>
      <c r="K19" s="39"/>
      <c r="L19" s="38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2.75" customHeight="1">
      <c r="A20" s="7"/>
      <c r="B20" s="32">
        <v>45989.0</v>
      </c>
      <c r="C20" s="33" t="str">
        <f t="shared" si="5"/>
        <v>Venda</v>
      </c>
      <c r="D20" s="34">
        <v>500.0</v>
      </c>
      <c r="E20" s="35">
        <v>17.5108</v>
      </c>
      <c r="F20" s="36">
        <f t="array" ref="F20">IFERROR(XLOOKUP(B20,aux_ptax_historical_data!B:B,aux_ptax_historical_data!D:D),"")</f>
        <v>5.3332</v>
      </c>
      <c r="G20" s="37">
        <f t="shared" si="6"/>
        <v>93.39</v>
      </c>
      <c r="H20" s="37">
        <f t="shared" si="7"/>
        <v>46695</v>
      </c>
      <c r="I20" s="38"/>
      <c r="J20" s="39"/>
      <c r="K20" s="39"/>
      <c r="L20" s="38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2.75" customHeight="1">
      <c r="A21" s="7"/>
      <c r="B21" s="40"/>
      <c r="C21" s="33"/>
      <c r="D21" s="41"/>
      <c r="E21" s="42"/>
      <c r="F21" s="36" t="str">
        <f t="array" ref="F21">IFERROR(XLOOKUP(B21,aux_ptax_historical_data!B:B,aux_ptax_historical_data!D:D),"")</f>
        <v/>
      </c>
      <c r="G21" s="37" t="str">
        <f t="shared" si="6"/>
        <v/>
      </c>
      <c r="H21" s="37" t="str">
        <f t="shared" si="7"/>
        <v/>
      </c>
      <c r="I21" s="38"/>
      <c r="J21" s="39"/>
      <c r="K21" s="39"/>
      <c r="L21" s="38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2.75" customHeight="1">
      <c r="A22" s="7"/>
      <c r="B22" s="40"/>
      <c r="C22" s="33"/>
      <c r="D22" s="41"/>
      <c r="E22" s="42"/>
      <c r="F22" s="36" t="str">
        <f t="array" ref="F22">IFERROR(XLOOKUP(B22,aux_ptax_historical_data!B:B,aux_ptax_historical_data!D:D),"")</f>
        <v/>
      </c>
      <c r="G22" s="37" t="str">
        <f t="shared" si="6"/>
        <v/>
      </c>
      <c r="H22" s="37" t="str">
        <f t="shared" si="7"/>
        <v/>
      </c>
      <c r="I22" s="38"/>
      <c r="J22" s="39"/>
      <c r="K22" s="39"/>
      <c r="L22" s="38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2.75" customHeight="1">
      <c r="A23" s="7"/>
      <c r="B23" s="40"/>
      <c r="C23" s="33" t="str">
        <f t="shared" ref="C23:C25" si="8">IF(B23="","","Venda")</f>
        <v/>
      </c>
      <c r="D23" s="41"/>
      <c r="E23" s="43"/>
      <c r="F23" s="36" t="str">
        <f t="array" ref="F23">IFERROR(XLOOKUP(B23,aux_ptax_historical_data!B:B,aux_ptax_historical_data!D:D),"")</f>
        <v/>
      </c>
      <c r="G23" s="37" t="str">
        <f t="shared" si="6"/>
        <v/>
      </c>
      <c r="H23" s="37" t="str">
        <f t="shared" si="7"/>
        <v/>
      </c>
      <c r="I23" s="44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2.75" customHeight="1">
      <c r="A24" s="7"/>
      <c r="B24" s="40"/>
      <c r="C24" s="33" t="str">
        <f t="shared" si="8"/>
        <v/>
      </c>
      <c r="D24" s="41"/>
      <c r="E24" s="43"/>
      <c r="F24" s="36" t="str">
        <f t="array" ref="F24">IFERROR(XLOOKUP(B24,aux_ptax_historical_data!B:B,aux_ptax_historical_data!D:D),"")</f>
        <v/>
      </c>
      <c r="G24" s="37" t="str">
        <f t="shared" si="6"/>
        <v/>
      </c>
      <c r="H24" s="37" t="str">
        <f t="shared" si="7"/>
        <v/>
      </c>
      <c r="I24" s="44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2.75" customHeight="1">
      <c r="A25" s="7"/>
      <c r="B25" s="40"/>
      <c r="C25" s="33" t="str">
        <f t="shared" si="8"/>
        <v/>
      </c>
      <c r="D25" s="41"/>
      <c r="E25" s="43"/>
      <c r="F25" s="36" t="str">
        <f t="array" ref="F25">IFERROR(XLOOKUP(B25,aux_ptax_historical_data!B:B,aux_ptax_historical_data!D:D),"")</f>
        <v/>
      </c>
      <c r="G25" s="37" t="str">
        <f t="shared" si="6"/>
        <v/>
      </c>
      <c r="H25" s="37" t="str">
        <f t="shared" si="7"/>
        <v/>
      </c>
      <c r="I25" s="44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2.75" customHeight="1">
      <c r="A26" s="7"/>
      <c r="B26" s="45" t="s">
        <v>33</v>
      </c>
      <c r="C26" s="45"/>
      <c r="D26" s="46">
        <f>SUM(D16:D25)</f>
        <v>3000</v>
      </c>
      <c r="E26" s="45"/>
      <c r="F26" s="45"/>
      <c r="G26" s="45"/>
      <c r="H26" s="47">
        <f>SUM(H16:H25)</f>
        <v>262965</v>
      </c>
      <c r="I26" s="44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2.75" customHeight="1">
      <c r="A27" s="7"/>
      <c r="B27" s="7"/>
      <c r="C27" s="7"/>
      <c r="D27" s="7"/>
      <c r="E27" s="7"/>
      <c r="F27" s="7"/>
      <c r="G27" s="7"/>
      <c r="H27" s="48"/>
      <c r="I27" s="4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2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2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2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2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2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2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2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2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2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2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2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2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2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2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2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2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2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2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2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2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2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2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2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2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2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2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2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2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2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2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2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2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2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2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2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2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2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2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2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2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2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2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2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2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2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2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2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2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2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2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2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2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2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2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2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2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2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2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2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2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2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2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2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2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2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2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2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2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2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2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2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2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2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2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2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2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2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2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2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2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2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2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2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2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2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2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2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2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2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2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2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2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2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2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2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2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2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2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2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2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2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2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2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2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2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2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2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2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2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2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2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2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2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2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2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2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2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2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2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2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2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2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2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2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2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2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2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2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2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2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2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2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2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2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2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2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2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2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2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2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2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2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2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2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2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2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2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2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2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2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2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2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2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2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2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2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2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2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2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2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2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2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2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2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2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2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2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2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2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2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2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2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2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2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2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2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2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2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2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2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2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2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2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2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2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2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2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2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2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2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2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2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2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2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2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2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2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2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2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N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N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N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N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N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N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N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N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N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N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N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N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N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N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N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N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N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N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N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N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N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N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N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N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N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N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N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N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N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N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N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N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N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N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N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N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N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N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N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N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N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N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N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N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N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N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N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N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N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N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N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N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N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N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N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N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N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N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N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N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N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N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N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N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N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N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N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N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N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N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N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N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N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N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N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N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N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N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N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N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N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N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N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N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N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N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N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N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N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N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N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N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N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N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N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N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N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N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N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N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N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N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N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N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N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N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N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N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N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N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N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N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N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N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N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N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N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N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N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N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N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N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N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N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N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N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N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N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N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N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N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N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N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N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N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N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N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N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N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N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N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N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N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N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N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N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N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N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N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N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N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N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N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N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N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N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N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N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N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N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N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N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N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N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N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N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N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N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N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N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N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N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N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N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N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N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N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N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N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N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N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N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N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N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N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N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N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N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N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N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N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N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N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N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N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N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N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N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N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N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N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N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N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N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N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N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N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N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N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N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N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N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N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N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N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N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N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N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N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N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N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N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N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N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N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N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N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N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N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N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N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N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N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N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N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N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N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N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N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N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N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N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N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N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N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N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N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N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N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N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N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N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N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N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N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N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N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N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N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N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N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N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N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N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N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N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N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N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N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N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N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N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N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N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N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N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N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N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N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N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N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N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N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N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N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N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N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N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N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N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N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N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N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N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N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N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N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N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N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N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N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N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N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N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N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N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N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N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N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N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N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N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N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N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N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N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N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N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N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N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N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N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N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N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N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N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N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N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N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N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N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N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N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N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N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N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N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N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N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N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N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N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N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N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N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N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N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N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N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N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N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N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N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N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N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N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N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N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N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N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N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N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N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N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N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N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N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N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N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N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N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N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N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N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N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N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N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N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N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N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N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N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N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N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N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N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N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N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N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N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N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N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N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N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N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N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N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N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N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N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N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N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N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N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N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N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N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N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N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N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N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N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N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N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N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N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N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N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N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N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N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N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N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N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N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N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N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N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N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N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N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N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N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N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N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N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N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N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N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N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N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N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N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N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N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N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N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N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N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N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N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N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N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N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N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N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N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N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N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N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N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N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N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N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N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N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N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N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N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N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N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N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N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N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N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N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N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N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N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N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N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N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N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N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N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N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N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N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N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N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N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N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N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N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N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N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N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N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N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N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N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N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N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N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N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N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N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N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N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N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N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N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N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N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N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N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N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N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N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N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N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N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N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N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N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N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N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N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N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N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N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N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N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N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N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N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N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N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N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N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N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N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N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N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N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N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N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N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N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N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N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N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N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N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N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N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N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N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N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N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N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N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N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N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N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N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N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N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N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N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N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N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N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N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N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N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N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N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N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N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N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N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N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N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N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N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N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N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N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N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N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N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N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N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N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N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N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N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N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N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N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N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N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N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N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N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N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N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N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N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N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N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N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N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N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N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N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N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N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N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N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N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N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N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N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N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N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N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N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N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N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N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N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N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N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N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N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N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N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N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N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N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N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N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N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N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N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N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N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N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N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N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N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N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N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N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N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N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N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N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N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N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N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N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N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N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N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N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N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N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N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N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N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N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N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N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N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N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N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N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N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N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N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N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N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N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N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N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N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N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N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N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N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N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N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N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N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N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N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N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N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N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N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N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N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N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N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N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N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N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N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N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N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N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N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N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N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N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N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N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N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N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N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N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N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N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N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N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N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N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N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N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N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N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N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N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N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N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N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N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N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N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N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N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N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N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N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N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N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N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N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N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N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N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N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N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N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N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N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N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N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N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N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N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N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N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N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N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N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N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N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N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N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N1000" s="1"/>
    </row>
  </sheetData>
  <mergeCells count="4">
    <mergeCell ref="B2:F2"/>
    <mergeCell ref="G2:H2"/>
    <mergeCell ref="B14:H14"/>
    <mergeCell ref="B6:I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75"/>
    <col customWidth="1" min="2" max="2" width="9.13"/>
    <col customWidth="1" min="3" max="3" width="7.25"/>
    <col customWidth="1" min="4" max="4" width="17.75"/>
    <col customWidth="1" min="5" max="5" width="19.38"/>
    <col customWidth="1" min="6" max="6" width="17.38"/>
    <col customWidth="1" min="7" max="7" width="9.38"/>
    <col customWidth="1" min="8" max="8" width="11.38"/>
    <col customWidth="1" min="9" max="10" width="14.25"/>
    <col customWidth="1" min="11" max="11" width="6.63"/>
    <col customWidth="1" min="12" max="12" width="5.75"/>
    <col customWidth="1" min="13" max="13" width="4.0"/>
    <col customWidth="1" min="14" max="14" width="5.63"/>
    <col customWidth="1" min="15" max="18" width="11.38"/>
    <col customWidth="1" min="19" max="22" width="9.13"/>
  </cols>
  <sheetData>
    <row r="1" ht="12.75" customHeight="1">
      <c r="A1" s="1"/>
      <c r="B1" s="49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12.75" customHeight="1">
      <c r="A2" s="3"/>
      <c r="B2" s="50" t="s">
        <v>38</v>
      </c>
      <c r="C2" s="9"/>
      <c r="D2" s="9"/>
      <c r="E2" s="9"/>
      <c r="F2" s="9"/>
      <c r="G2" s="9"/>
      <c r="H2" s="9"/>
      <c r="I2" s="9"/>
      <c r="J2" s="10"/>
      <c r="K2" s="51" t="s">
        <v>39</v>
      </c>
      <c r="L2" s="9"/>
      <c r="M2" s="9"/>
      <c r="N2" s="12"/>
      <c r="O2" s="52" t="s">
        <v>40</v>
      </c>
      <c r="P2" s="9"/>
      <c r="Q2" s="9"/>
      <c r="R2" s="12"/>
      <c r="S2" s="52" t="s">
        <v>41</v>
      </c>
      <c r="T2" s="9"/>
      <c r="U2" s="9"/>
      <c r="V2" s="12"/>
      <c r="W2" s="3"/>
      <c r="X2" s="3"/>
      <c r="Y2" s="3"/>
      <c r="Z2" s="3"/>
    </row>
    <row r="3" ht="12.75" customHeight="1">
      <c r="A3" s="3"/>
      <c r="B3" s="53" t="s">
        <v>17</v>
      </c>
      <c r="C3" s="14" t="s">
        <v>18</v>
      </c>
      <c r="D3" s="15" t="s">
        <v>42</v>
      </c>
      <c r="E3" s="15" t="s">
        <v>43</v>
      </c>
      <c r="F3" s="15" t="s">
        <v>44</v>
      </c>
      <c r="G3" s="15" t="s">
        <v>29</v>
      </c>
      <c r="H3" s="15" t="s">
        <v>30</v>
      </c>
      <c r="I3" s="15" t="s">
        <v>45</v>
      </c>
      <c r="J3" s="15" t="s">
        <v>46</v>
      </c>
      <c r="K3" s="54" t="s">
        <v>47</v>
      </c>
      <c r="L3" s="55" t="s">
        <v>48</v>
      </c>
      <c r="M3" s="55" t="s">
        <v>49</v>
      </c>
      <c r="N3" s="55" t="s">
        <v>50</v>
      </c>
      <c r="O3" s="54" t="s">
        <v>47</v>
      </c>
      <c r="P3" s="55" t="s">
        <v>48</v>
      </c>
      <c r="Q3" s="55" t="s">
        <v>49</v>
      </c>
      <c r="R3" s="55" t="s">
        <v>50</v>
      </c>
      <c r="S3" s="54" t="s">
        <v>47</v>
      </c>
      <c r="T3" s="55" t="s">
        <v>48</v>
      </c>
      <c r="U3" s="55" t="s">
        <v>49</v>
      </c>
      <c r="V3" s="55" t="s">
        <v>50</v>
      </c>
      <c r="W3" s="3"/>
      <c r="X3" s="3"/>
      <c r="Y3" s="3"/>
      <c r="Z3" s="3"/>
    </row>
    <row r="4" ht="12.75" customHeight="1">
      <c r="A4" s="1"/>
      <c r="B4" s="56">
        <f>IFERROR(__xludf.DUMMYFUNCTION("SORT(FILTER(
  { input!B8:E11;
    input!B16:E25 },
  { input!E8:E11;
    input!E16:E25 } &lt;&gt; 0
))"),45660.0)</f>
        <v>45660</v>
      </c>
      <c r="C4" s="17" t="str">
        <f>IFERROR(__xludf.DUMMYFUNCTION("""COMPUTED_VALUE"""),"Vesting")</f>
        <v>Vesting</v>
      </c>
      <c r="D4" s="57">
        <f>IFERROR(__xludf.DUMMYFUNCTION("""COMPUTED_VALUE"""),353.0)</f>
        <v>353</v>
      </c>
      <c r="E4" s="58">
        <f>IFERROR(__xludf.DUMMYFUNCTION("""COMPUTED_VALUE"""),10.63)</f>
        <v>10.63</v>
      </c>
      <c r="F4" s="59">
        <f>IFERROR(VLOOKUP(B4,aux_ptax_historical_data!$B:$E,4,0),"")</f>
        <v>6.1563</v>
      </c>
      <c r="G4" s="60">
        <f t="shared" ref="G4:G17" si="1">IFERROR(E4*F4,"")</f>
        <v>65.441469</v>
      </c>
      <c r="H4" s="60">
        <f t="shared" ref="H4:H17" si="2">IFERROR(G4*D4,"")</f>
        <v>23100.83856</v>
      </c>
      <c r="I4" s="60">
        <f t="shared" ref="I4:I17" si="3">IFERROR(O4/K4,0)</f>
        <v>48.6092</v>
      </c>
      <c r="J4" s="60">
        <f t="shared" ref="J4:J17" si="4">IFERROR(IF(C4="Vesting",0,H4-Q4),0)</f>
        <v>0</v>
      </c>
      <c r="K4" s="61">
        <f>input!$D$4</f>
        <v>2206</v>
      </c>
      <c r="L4" s="61">
        <f t="shared" ref="L4:L17" si="5">IF(C4="Vesting",D4,0)</f>
        <v>353</v>
      </c>
      <c r="M4" s="61">
        <f t="shared" ref="M4:M17" si="6">IF(C4="Venda",D4,0)</f>
        <v>0</v>
      </c>
      <c r="N4" s="61">
        <f t="shared" ref="N4:N17" si="7">K4+L4-M4</f>
        <v>2559</v>
      </c>
      <c r="O4" s="60">
        <f>input!$F$4</f>
        <v>107231.8952</v>
      </c>
      <c r="P4" s="60">
        <f t="shared" ref="P4:P17" si="8">IF(C4="Vesting",H4,0)</f>
        <v>23100.83856</v>
      </c>
      <c r="Q4" s="60">
        <f t="shared" ref="Q4:Q17" si="9">IF(C4="Venda",O4*M4/K4,0)</f>
        <v>0</v>
      </c>
      <c r="R4" s="60">
        <f t="shared" ref="R4:R17" si="10">O4+P4-Q4</f>
        <v>130332.7338</v>
      </c>
      <c r="S4" s="62">
        <f>input!$H$4</f>
        <v>20491.0928</v>
      </c>
      <c r="T4" s="62">
        <f t="shared" ref="T4:T17" si="11">IF(C4="Vesting",D4*E4,0)</f>
        <v>3752.39</v>
      </c>
      <c r="U4" s="62">
        <f t="shared" ref="U4:U17" si="12">IF(C4="Venda",S4*M4/K4,0)</f>
        <v>0</v>
      </c>
      <c r="V4" s="62">
        <f t="shared" ref="V4:V17" si="13">S4+T4-U4</f>
        <v>24243.4828</v>
      </c>
    </row>
    <row r="5" ht="12.75" customHeight="1">
      <c r="A5" s="1"/>
      <c r="B5" s="56">
        <f>IFERROR(__xludf.DUMMYFUNCTION("""COMPUTED_VALUE"""),45748.0)</f>
        <v>45748</v>
      </c>
      <c r="C5" s="17" t="str">
        <f>IFERROR(__xludf.DUMMYFUNCTION("""COMPUTED_VALUE"""),"Vesting")</f>
        <v>Vesting</v>
      </c>
      <c r="D5" s="57">
        <f>IFERROR(__xludf.DUMMYFUNCTION("""COMPUTED_VALUE"""),490.0)</f>
        <v>490</v>
      </c>
      <c r="E5" s="58">
        <f>IFERROR(__xludf.DUMMYFUNCTION("""COMPUTED_VALUE"""),10.43)</f>
        <v>10.43</v>
      </c>
      <c r="F5" s="59">
        <f>IFERROR(VLOOKUP(B5,aux_ptax_historical_data!$B:$E,4,0),"")</f>
        <v>5.7051</v>
      </c>
      <c r="G5" s="60">
        <f t="shared" si="1"/>
        <v>59.504193</v>
      </c>
      <c r="H5" s="60">
        <f t="shared" si="2"/>
        <v>29157.05457</v>
      </c>
      <c r="I5" s="60">
        <f t="shared" si="3"/>
        <v>50.93111909</v>
      </c>
      <c r="J5" s="60">
        <f t="shared" si="4"/>
        <v>0</v>
      </c>
      <c r="K5" s="61">
        <f t="shared" ref="K5:K17" si="14">K4+L4-M4</f>
        <v>2559</v>
      </c>
      <c r="L5" s="61">
        <f t="shared" si="5"/>
        <v>490</v>
      </c>
      <c r="M5" s="61">
        <f t="shared" si="6"/>
        <v>0</v>
      </c>
      <c r="N5" s="61">
        <f t="shared" si="7"/>
        <v>3049</v>
      </c>
      <c r="O5" s="60">
        <f t="shared" ref="O5:O17" si="15">R4</f>
        <v>130332.7338</v>
      </c>
      <c r="P5" s="60">
        <f t="shared" si="8"/>
        <v>29157.05457</v>
      </c>
      <c r="Q5" s="60">
        <f t="shared" si="9"/>
        <v>0</v>
      </c>
      <c r="R5" s="60">
        <f t="shared" si="10"/>
        <v>159489.7883</v>
      </c>
      <c r="S5" s="62">
        <f t="shared" ref="S5:S17" si="16">V4</f>
        <v>24243.4828</v>
      </c>
      <c r="T5" s="62">
        <f t="shared" si="11"/>
        <v>5110.7</v>
      </c>
      <c r="U5" s="62">
        <f t="shared" si="12"/>
        <v>0</v>
      </c>
      <c r="V5" s="62">
        <f t="shared" si="13"/>
        <v>29354.1828</v>
      </c>
    </row>
    <row r="6" ht="12.75" customHeight="1">
      <c r="A6" s="1"/>
      <c r="B6" s="56">
        <f>IFERROR(__xludf.DUMMYFUNCTION("""COMPUTED_VALUE"""),45839.0)</f>
        <v>45839</v>
      </c>
      <c r="C6" s="17" t="str">
        <f>IFERROR(__xludf.DUMMYFUNCTION("""COMPUTED_VALUE"""),"Vesting")</f>
        <v>Vesting</v>
      </c>
      <c r="D6" s="57">
        <f>IFERROR(__xludf.DUMMYFUNCTION("""COMPUTED_VALUE"""),490.0)</f>
        <v>490</v>
      </c>
      <c r="E6" s="58">
        <f>IFERROR(__xludf.DUMMYFUNCTION("""COMPUTED_VALUE"""),13.64)</f>
        <v>13.64</v>
      </c>
      <c r="F6" s="59">
        <f>IFERROR(VLOOKUP(B6,aux_ptax_historical_data!$B:$E,4,0),"")</f>
        <v>5.4511</v>
      </c>
      <c r="G6" s="60">
        <f t="shared" si="1"/>
        <v>74.353004</v>
      </c>
      <c r="H6" s="60">
        <f t="shared" si="2"/>
        <v>36432.97196</v>
      </c>
      <c r="I6" s="60">
        <f t="shared" si="3"/>
        <v>52.30888433</v>
      </c>
      <c r="J6" s="60">
        <f t="shared" si="4"/>
        <v>0</v>
      </c>
      <c r="K6" s="61">
        <f t="shared" si="14"/>
        <v>3049</v>
      </c>
      <c r="L6" s="61">
        <f t="shared" si="5"/>
        <v>490</v>
      </c>
      <c r="M6" s="61">
        <f t="shared" si="6"/>
        <v>0</v>
      </c>
      <c r="N6" s="61">
        <f t="shared" si="7"/>
        <v>3539</v>
      </c>
      <c r="O6" s="60">
        <f t="shared" si="15"/>
        <v>159489.7883</v>
      </c>
      <c r="P6" s="60">
        <f t="shared" si="8"/>
        <v>36432.97196</v>
      </c>
      <c r="Q6" s="60">
        <f t="shared" si="9"/>
        <v>0</v>
      </c>
      <c r="R6" s="60">
        <f t="shared" si="10"/>
        <v>195922.7603</v>
      </c>
      <c r="S6" s="62">
        <f t="shared" si="16"/>
        <v>29354.1828</v>
      </c>
      <c r="T6" s="62">
        <f t="shared" si="11"/>
        <v>6683.6</v>
      </c>
      <c r="U6" s="62">
        <f t="shared" si="12"/>
        <v>0</v>
      </c>
      <c r="V6" s="62">
        <f t="shared" si="13"/>
        <v>36037.7828</v>
      </c>
    </row>
    <row r="7" ht="12.75" customHeight="1">
      <c r="A7" s="1"/>
      <c r="B7" s="56">
        <f>IFERROR(__xludf.DUMMYFUNCTION("""COMPUTED_VALUE"""),45897.0)</f>
        <v>45897</v>
      </c>
      <c r="C7" s="17" t="str">
        <f>IFERROR(__xludf.DUMMYFUNCTION("""COMPUTED_VALUE"""),"Venda")</f>
        <v>Venda</v>
      </c>
      <c r="D7" s="57">
        <f>IFERROR(__xludf.DUMMYFUNCTION("""COMPUTED_VALUE"""),1000.0)</f>
        <v>1000</v>
      </c>
      <c r="E7" s="58">
        <f>IFERROR(__xludf.DUMMYFUNCTION("""COMPUTED_VALUE"""),15.0242)</f>
        <v>15.0242</v>
      </c>
      <c r="F7" s="59">
        <f>IFERROR(VLOOKUP(B7,aux_ptax_historical_data!$B:$E,4,0),"")</f>
        <v>5.4115</v>
      </c>
      <c r="G7" s="60">
        <f t="shared" si="1"/>
        <v>81.3034583</v>
      </c>
      <c r="H7" s="60">
        <f t="shared" si="2"/>
        <v>81303.4583</v>
      </c>
      <c r="I7" s="60">
        <f t="shared" si="3"/>
        <v>55.36105123</v>
      </c>
      <c r="J7" s="60">
        <f t="shared" si="4"/>
        <v>25942.40707</v>
      </c>
      <c r="K7" s="61">
        <f t="shared" si="14"/>
        <v>3539</v>
      </c>
      <c r="L7" s="61">
        <f t="shared" si="5"/>
        <v>0</v>
      </c>
      <c r="M7" s="61">
        <f t="shared" si="6"/>
        <v>1000</v>
      </c>
      <c r="N7" s="61">
        <f t="shared" si="7"/>
        <v>2539</v>
      </c>
      <c r="O7" s="60">
        <f t="shared" si="15"/>
        <v>195922.7603</v>
      </c>
      <c r="P7" s="60">
        <f t="shared" si="8"/>
        <v>0</v>
      </c>
      <c r="Q7" s="60">
        <f t="shared" si="9"/>
        <v>55361.05123</v>
      </c>
      <c r="R7" s="60">
        <f t="shared" si="10"/>
        <v>140561.7091</v>
      </c>
      <c r="S7" s="62">
        <f t="shared" si="16"/>
        <v>36037.7828</v>
      </c>
      <c r="T7" s="62">
        <f t="shared" si="11"/>
        <v>0</v>
      </c>
      <c r="U7" s="62">
        <f t="shared" si="12"/>
        <v>10183.0412</v>
      </c>
      <c r="V7" s="62">
        <f t="shared" si="13"/>
        <v>25854.7416</v>
      </c>
    </row>
    <row r="8" ht="12.75" customHeight="1">
      <c r="A8" s="1"/>
      <c r="B8" s="56">
        <f>IFERROR(__xludf.DUMMYFUNCTION("""COMPUTED_VALUE"""),45915.0)</f>
        <v>45915</v>
      </c>
      <c r="C8" s="17" t="str">
        <f>IFERROR(__xludf.DUMMYFUNCTION("""COMPUTED_VALUE"""),"Venda")</f>
        <v>Venda</v>
      </c>
      <c r="D8" s="57">
        <f>IFERROR(__xludf.DUMMYFUNCTION("""COMPUTED_VALUE"""),500.0)</f>
        <v>500</v>
      </c>
      <c r="E8" s="58">
        <f>IFERROR(__xludf.DUMMYFUNCTION("""COMPUTED_VALUE"""),16.0)</f>
        <v>16</v>
      </c>
      <c r="F8" s="59">
        <f>IFERROR(VLOOKUP(B8,aux_ptax_historical_data!$B:$E,4,0),"")</f>
        <v>5.3208</v>
      </c>
      <c r="G8" s="60">
        <f t="shared" si="1"/>
        <v>85.1328</v>
      </c>
      <c r="H8" s="60">
        <f t="shared" si="2"/>
        <v>42566.4</v>
      </c>
      <c r="I8" s="60">
        <f t="shared" si="3"/>
        <v>55.36105123</v>
      </c>
      <c r="J8" s="60">
        <f t="shared" si="4"/>
        <v>14885.87439</v>
      </c>
      <c r="K8" s="61">
        <f t="shared" si="14"/>
        <v>2539</v>
      </c>
      <c r="L8" s="61">
        <f t="shared" si="5"/>
        <v>0</v>
      </c>
      <c r="M8" s="61">
        <f t="shared" si="6"/>
        <v>500</v>
      </c>
      <c r="N8" s="61">
        <f t="shared" si="7"/>
        <v>2039</v>
      </c>
      <c r="O8" s="60">
        <f t="shared" si="15"/>
        <v>140561.7091</v>
      </c>
      <c r="P8" s="60">
        <f t="shared" si="8"/>
        <v>0</v>
      </c>
      <c r="Q8" s="60">
        <f t="shared" si="9"/>
        <v>27680.52561</v>
      </c>
      <c r="R8" s="60">
        <f t="shared" si="10"/>
        <v>112881.1834</v>
      </c>
      <c r="S8" s="62">
        <f t="shared" si="16"/>
        <v>25854.7416</v>
      </c>
      <c r="T8" s="62">
        <f t="shared" si="11"/>
        <v>0</v>
      </c>
      <c r="U8" s="62">
        <f t="shared" si="12"/>
        <v>5091.520599</v>
      </c>
      <c r="V8" s="62">
        <f t="shared" si="13"/>
        <v>20763.221</v>
      </c>
    </row>
    <row r="9" ht="12.75" customHeight="1">
      <c r="A9" s="1"/>
      <c r="B9" s="56">
        <f>IFERROR(__xludf.DUMMYFUNCTION("""COMPUTED_VALUE"""),45931.0)</f>
        <v>45931</v>
      </c>
      <c r="C9" s="17" t="str">
        <f>IFERROR(__xludf.DUMMYFUNCTION("""COMPUTED_VALUE"""),"Vesting")</f>
        <v>Vesting</v>
      </c>
      <c r="D9" s="57">
        <f>IFERROR(__xludf.DUMMYFUNCTION("""COMPUTED_VALUE"""),490.0)</f>
        <v>490</v>
      </c>
      <c r="E9" s="58">
        <f>IFERROR(__xludf.DUMMYFUNCTION("""COMPUTED_VALUE"""),15.19)</f>
        <v>15.19</v>
      </c>
      <c r="F9" s="59">
        <f>IFERROR(VLOOKUP(B9,aux_ptax_historical_data!$B:$E,4,0),"")</f>
        <v>5.3208</v>
      </c>
      <c r="G9" s="60">
        <f t="shared" si="1"/>
        <v>80.822952</v>
      </c>
      <c r="H9" s="60">
        <f t="shared" si="2"/>
        <v>39603.24648</v>
      </c>
      <c r="I9" s="60">
        <f t="shared" si="3"/>
        <v>55.36105123</v>
      </c>
      <c r="J9" s="60">
        <f t="shared" si="4"/>
        <v>0</v>
      </c>
      <c r="K9" s="61">
        <f t="shared" si="14"/>
        <v>2039</v>
      </c>
      <c r="L9" s="61">
        <f t="shared" si="5"/>
        <v>490</v>
      </c>
      <c r="M9" s="61">
        <f t="shared" si="6"/>
        <v>0</v>
      </c>
      <c r="N9" s="61">
        <f t="shared" si="7"/>
        <v>2529</v>
      </c>
      <c r="O9" s="60">
        <f t="shared" si="15"/>
        <v>112881.1834</v>
      </c>
      <c r="P9" s="60">
        <f t="shared" si="8"/>
        <v>39603.24648</v>
      </c>
      <c r="Q9" s="60">
        <f t="shared" si="9"/>
        <v>0</v>
      </c>
      <c r="R9" s="60">
        <f t="shared" si="10"/>
        <v>152484.4299</v>
      </c>
      <c r="S9" s="62">
        <f t="shared" si="16"/>
        <v>20763.221</v>
      </c>
      <c r="T9" s="62">
        <f t="shared" si="11"/>
        <v>7443.1</v>
      </c>
      <c r="U9" s="62">
        <f t="shared" si="12"/>
        <v>0</v>
      </c>
      <c r="V9" s="62">
        <f t="shared" si="13"/>
        <v>28206.321</v>
      </c>
    </row>
    <row r="10" ht="12.75" customHeight="1">
      <c r="A10" s="1"/>
      <c r="B10" s="56">
        <f>IFERROR(__xludf.DUMMYFUNCTION("""COMPUTED_VALUE"""),45987.0)</f>
        <v>45987</v>
      </c>
      <c r="C10" s="17" t="str">
        <f>IFERROR(__xludf.DUMMYFUNCTION("""COMPUTED_VALUE"""),"Venda")</f>
        <v>Venda</v>
      </c>
      <c r="D10" s="57">
        <f>IFERROR(__xludf.DUMMYFUNCTION("""COMPUTED_VALUE"""),500.0)</f>
        <v>500</v>
      </c>
      <c r="E10" s="58">
        <f>IFERROR(__xludf.DUMMYFUNCTION("""COMPUTED_VALUE"""),17.0)</f>
        <v>17</v>
      </c>
      <c r="F10" s="59">
        <f>IFERROR(VLOOKUP(B10,aux_ptax_historical_data!$B:$E,4,0),"")</f>
        <v>5.3694</v>
      </c>
      <c r="G10" s="60">
        <f t="shared" si="1"/>
        <v>91.2798</v>
      </c>
      <c r="H10" s="60">
        <f t="shared" si="2"/>
        <v>45639.9</v>
      </c>
      <c r="I10" s="60">
        <f t="shared" si="3"/>
        <v>60.29435743</v>
      </c>
      <c r="J10" s="60">
        <f t="shared" si="4"/>
        <v>15492.72129</v>
      </c>
      <c r="K10" s="61">
        <f t="shared" si="14"/>
        <v>2529</v>
      </c>
      <c r="L10" s="61">
        <f t="shared" si="5"/>
        <v>0</v>
      </c>
      <c r="M10" s="61">
        <f t="shared" si="6"/>
        <v>500</v>
      </c>
      <c r="N10" s="61">
        <f t="shared" si="7"/>
        <v>2029</v>
      </c>
      <c r="O10" s="60">
        <f t="shared" si="15"/>
        <v>152484.4299</v>
      </c>
      <c r="P10" s="60">
        <f t="shared" si="8"/>
        <v>0</v>
      </c>
      <c r="Q10" s="60">
        <f t="shared" si="9"/>
        <v>30147.17871</v>
      </c>
      <c r="R10" s="60">
        <f t="shared" si="10"/>
        <v>122337.2512</v>
      </c>
      <c r="S10" s="62">
        <f t="shared" si="16"/>
        <v>28206.321</v>
      </c>
      <c r="T10" s="62">
        <f t="shared" si="11"/>
        <v>0</v>
      </c>
      <c r="U10" s="62">
        <f t="shared" si="12"/>
        <v>5576.57592</v>
      </c>
      <c r="V10" s="62">
        <f t="shared" si="13"/>
        <v>22629.74508</v>
      </c>
    </row>
    <row r="11" ht="12.75" customHeight="1">
      <c r="A11" s="1"/>
      <c r="B11" s="56">
        <f>IFERROR(__xludf.DUMMYFUNCTION("""COMPUTED_VALUE"""),45989.0)</f>
        <v>45989</v>
      </c>
      <c r="C11" s="17" t="str">
        <f>IFERROR(__xludf.DUMMYFUNCTION("""COMPUTED_VALUE"""),"Venda")</f>
        <v>Venda</v>
      </c>
      <c r="D11" s="57">
        <f>IFERROR(__xludf.DUMMYFUNCTION("""COMPUTED_VALUE"""),500.0)</f>
        <v>500</v>
      </c>
      <c r="E11" s="58">
        <f>IFERROR(__xludf.DUMMYFUNCTION("""COMPUTED_VALUE"""),17.5108)</f>
        <v>17.5108</v>
      </c>
      <c r="F11" s="59">
        <f>IFERROR(VLOOKUP(B11,aux_ptax_historical_data!$B:$E,4,0),"")</f>
        <v>5.3338</v>
      </c>
      <c r="G11" s="60">
        <f t="shared" si="1"/>
        <v>93.39910504</v>
      </c>
      <c r="H11" s="60">
        <f t="shared" si="2"/>
        <v>46699.55252</v>
      </c>
      <c r="I11" s="60">
        <f t="shared" si="3"/>
        <v>60.29435743</v>
      </c>
      <c r="J11" s="60">
        <f t="shared" si="4"/>
        <v>16552.37381</v>
      </c>
      <c r="K11" s="61">
        <f t="shared" si="14"/>
        <v>2029</v>
      </c>
      <c r="L11" s="61">
        <f t="shared" si="5"/>
        <v>0</v>
      </c>
      <c r="M11" s="61">
        <f t="shared" si="6"/>
        <v>500</v>
      </c>
      <c r="N11" s="61">
        <f t="shared" si="7"/>
        <v>1529</v>
      </c>
      <c r="O11" s="60">
        <f t="shared" si="15"/>
        <v>122337.2512</v>
      </c>
      <c r="P11" s="60">
        <f t="shared" si="8"/>
        <v>0</v>
      </c>
      <c r="Q11" s="60">
        <f t="shared" si="9"/>
        <v>30147.17871</v>
      </c>
      <c r="R11" s="60">
        <f t="shared" si="10"/>
        <v>92190.0725</v>
      </c>
      <c r="S11" s="62">
        <f t="shared" si="16"/>
        <v>22629.74508</v>
      </c>
      <c r="T11" s="62">
        <f t="shared" si="11"/>
        <v>0</v>
      </c>
      <c r="U11" s="62">
        <f t="shared" si="12"/>
        <v>5576.57592</v>
      </c>
      <c r="V11" s="62">
        <f t="shared" si="13"/>
        <v>17053.16916</v>
      </c>
    </row>
    <row r="12" ht="12.75" customHeight="1">
      <c r="A12" s="1"/>
      <c r="B12" s="56">
        <f>IFERROR(__xludf.DUMMYFUNCTION("""COMPUTED_VALUE"""),45989.0)</f>
        <v>45989</v>
      </c>
      <c r="C12" s="17" t="str">
        <f>IFERROR(__xludf.DUMMYFUNCTION("""COMPUTED_VALUE"""),"Venda")</f>
        <v>Venda</v>
      </c>
      <c r="D12" s="57">
        <f>IFERROR(__xludf.DUMMYFUNCTION("""COMPUTED_VALUE"""),500.0)</f>
        <v>500</v>
      </c>
      <c r="E12" s="58">
        <f>IFERROR(__xludf.DUMMYFUNCTION("""COMPUTED_VALUE"""),17.5441)</f>
        <v>17.5441</v>
      </c>
      <c r="F12" s="59">
        <f>IFERROR(VLOOKUP(B12,aux_ptax_historical_data!$B:$E,4,0),"")</f>
        <v>5.3338</v>
      </c>
      <c r="G12" s="60">
        <f t="shared" si="1"/>
        <v>93.57672058</v>
      </c>
      <c r="H12" s="60">
        <f t="shared" si="2"/>
        <v>46788.36029</v>
      </c>
      <c r="I12" s="60">
        <f t="shared" si="3"/>
        <v>60.29435743</v>
      </c>
      <c r="J12" s="60">
        <f t="shared" si="4"/>
        <v>16641.18158</v>
      </c>
      <c r="K12" s="61">
        <f t="shared" si="14"/>
        <v>1529</v>
      </c>
      <c r="L12" s="61">
        <f t="shared" si="5"/>
        <v>0</v>
      </c>
      <c r="M12" s="61">
        <f t="shared" si="6"/>
        <v>500</v>
      </c>
      <c r="N12" s="61">
        <f t="shared" si="7"/>
        <v>1029</v>
      </c>
      <c r="O12" s="60">
        <f t="shared" si="15"/>
        <v>92190.0725</v>
      </c>
      <c r="P12" s="60">
        <f t="shared" si="8"/>
        <v>0</v>
      </c>
      <c r="Q12" s="60">
        <f t="shared" si="9"/>
        <v>30147.17871</v>
      </c>
      <c r="R12" s="60">
        <f t="shared" si="10"/>
        <v>62042.89379</v>
      </c>
      <c r="S12" s="62">
        <f t="shared" si="16"/>
        <v>17053.16916</v>
      </c>
      <c r="T12" s="62">
        <f t="shared" si="11"/>
        <v>0</v>
      </c>
      <c r="U12" s="62">
        <f t="shared" si="12"/>
        <v>5576.57592</v>
      </c>
      <c r="V12" s="62">
        <f t="shared" si="13"/>
        <v>11476.59324</v>
      </c>
    </row>
    <row r="13" ht="12.75" customHeight="1">
      <c r="A13" s="1"/>
      <c r="B13" s="56"/>
      <c r="C13" s="17"/>
      <c r="D13" s="57"/>
      <c r="E13" s="58"/>
      <c r="F13" s="59" t="str">
        <f>IFERROR(VLOOKUP(B13,aux_ptax_historical_data!$B:$E,4,0),"")</f>
        <v/>
      </c>
      <c r="G13" s="60">
        <f t="shared" si="1"/>
        <v>0</v>
      </c>
      <c r="H13" s="60">
        <f t="shared" si="2"/>
        <v>0</v>
      </c>
      <c r="I13" s="60">
        <f t="shared" si="3"/>
        <v>60.29435743</v>
      </c>
      <c r="J13" s="60">
        <f t="shared" si="4"/>
        <v>0</v>
      </c>
      <c r="K13" s="61">
        <f t="shared" si="14"/>
        <v>1029</v>
      </c>
      <c r="L13" s="61">
        <f t="shared" si="5"/>
        <v>0</v>
      </c>
      <c r="M13" s="61">
        <f t="shared" si="6"/>
        <v>0</v>
      </c>
      <c r="N13" s="61">
        <f t="shared" si="7"/>
        <v>1029</v>
      </c>
      <c r="O13" s="60">
        <f t="shared" si="15"/>
        <v>62042.89379</v>
      </c>
      <c r="P13" s="60">
        <f t="shared" si="8"/>
        <v>0</v>
      </c>
      <c r="Q13" s="60">
        <f t="shared" si="9"/>
        <v>0</v>
      </c>
      <c r="R13" s="60">
        <f t="shared" si="10"/>
        <v>62042.89379</v>
      </c>
      <c r="S13" s="62">
        <f t="shared" si="16"/>
        <v>11476.59324</v>
      </c>
      <c r="T13" s="62">
        <f t="shared" si="11"/>
        <v>0</v>
      </c>
      <c r="U13" s="62">
        <f t="shared" si="12"/>
        <v>0</v>
      </c>
      <c r="V13" s="62">
        <f t="shared" si="13"/>
        <v>11476.59324</v>
      </c>
    </row>
    <row r="14" ht="12.75" customHeight="1">
      <c r="A14" s="1"/>
      <c r="B14" s="56"/>
      <c r="C14" s="17"/>
      <c r="D14" s="57"/>
      <c r="E14" s="58"/>
      <c r="F14" s="59" t="str">
        <f>IFERROR(VLOOKUP(B14,aux_ptax_historical_data!$B:$E,4,0),"")</f>
        <v/>
      </c>
      <c r="G14" s="60">
        <f t="shared" si="1"/>
        <v>0</v>
      </c>
      <c r="H14" s="60">
        <f t="shared" si="2"/>
        <v>0</v>
      </c>
      <c r="I14" s="60">
        <f t="shared" si="3"/>
        <v>60.29435743</v>
      </c>
      <c r="J14" s="60">
        <f t="shared" si="4"/>
        <v>0</v>
      </c>
      <c r="K14" s="61">
        <f t="shared" si="14"/>
        <v>1029</v>
      </c>
      <c r="L14" s="61">
        <f t="shared" si="5"/>
        <v>0</v>
      </c>
      <c r="M14" s="61">
        <f t="shared" si="6"/>
        <v>0</v>
      </c>
      <c r="N14" s="61">
        <f t="shared" si="7"/>
        <v>1029</v>
      </c>
      <c r="O14" s="60">
        <f t="shared" si="15"/>
        <v>62042.89379</v>
      </c>
      <c r="P14" s="60">
        <f t="shared" si="8"/>
        <v>0</v>
      </c>
      <c r="Q14" s="60">
        <f t="shared" si="9"/>
        <v>0</v>
      </c>
      <c r="R14" s="60">
        <f t="shared" si="10"/>
        <v>62042.89379</v>
      </c>
      <c r="S14" s="62">
        <f t="shared" si="16"/>
        <v>11476.59324</v>
      </c>
      <c r="T14" s="62">
        <f t="shared" si="11"/>
        <v>0</v>
      </c>
      <c r="U14" s="62">
        <f t="shared" si="12"/>
        <v>0</v>
      </c>
      <c r="V14" s="62">
        <f t="shared" si="13"/>
        <v>11476.59324</v>
      </c>
    </row>
    <row r="15" ht="12.75" customHeight="1">
      <c r="A15" s="1"/>
      <c r="B15" s="63"/>
      <c r="C15" s="64"/>
      <c r="D15" s="65"/>
      <c r="E15" s="66"/>
      <c r="F15" s="67" t="str">
        <f>IFERROR(VLOOKUP(B15,aux_ptax_historical_data!$B:$E,4,0),"")</f>
        <v/>
      </c>
      <c r="G15" s="60">
        <f t="shared" si="1"/>
        <v>0</v>
      </c>
      <c r="H15" s="60">
        <f t="shared" si="2"/>
        <v>0</v>
      </c>
      <c r="I15" s="60">
        <f t="shared" si="3"/>
        <v>60.29435743</v>
      </c>
      <c r="J15" s="60">
        <f t="shared" si="4"/>
        <v>0</v>
      </c>
      <c r="K15" s="61">
        <f t="shared" si="14"/>
        <v>1029</v>
      </c>
      <c r="L15" s="61">
        <f t="shared" si="5"/>
        <v>0</v>
      </c>
      <c r="M15" s="61">
        <f t="shared" si="6"/>
        <v>0</v>
      </c>
      <c r="N15" s="61">
        <f t="shared" si="7"/>
        <v>1029</v>
      </c>
      <c r="O15" s="60">
        <f t="shared" si="15"/>
        <v>62042.89379</v>
      </c>
      <c r="P15" s="60">
        <f t="shared" si="8"/>
        <v>0</v>
      </c>
      <c r="Q15" s="60">
        <f t="shared" si="9"/>
        <v>0</v>
      </c>
      <c r="R15" s="60">
        <f t="shared" si="10"/>
        <v>62042.89379</v>
      </c>
      <c r="S15" s="62">
        <f t="shared" si="16"/>
        <v>11476.59324</v>
      </c>
      <c r="T15" s="62">
        <f t="shared" si="11"/>
        <v>0</v>
      </c>
      <c r="U15" s="62">
        <f t="shared" si="12"/>
        <v>0</v>
      </c>
      <c r="V15" s="62">
        <f t="shared" si="13"/>
        <v>11476.59324</v>
      </c>
    </row>
    <row r="16" ht="12.75" customHeight="1">
      <c r="A16" s="1"/>
      <c r="B16" s="63"/>
      <c r="C16" s="64"/>
      <c r="D16" s="65"/>
      <c r="E16" s="66"/>
      <c r="F16" s="67" t="str">
        <f>IFERROR(VLOOKUP(B16,aux_ptax_historical_data!$B:$E,4,0),"")</f>
        <v/>
      </c>
      <c r="G16" s="60">
        <f t="shared" si="1"/>
        <v>0</v>
      </c>
      <c r="H16" s="60">
        <f t="shared" si="2"/>
        <v>0</v>
      </c>
      <c r="I16" s="60">
        <f t="shared" si="3"/>
        <v>60.29435743</v>
      </c>
      <c r="J16" s="60">
        <f t="shared" si="4"/>
        <v>0</v>
      </c>
      <c r="K16" s="61">
        <f t="shared" si="14"/>
        <v>1029</v>
      </c>
      <c r="L16" s="61">
        <f t="shared" si="5"/>
        <v>0</v>
      </c>
      <c r="M16" s="61">
        <f t="shared" si="6"/>
        <v>0</v>
      </c>
      <c r="N16" s="61">
        <f t="shared" si="7"/>
        <v>1029</v>
      </c>
      <c r="O16" s="60">
        <f t="shared" si="15"/>
        <v>62042.89379</v>
      </c>
      <c r="P16" s="60">
        <f t="shared" si="8"/>
        <v>0</v>
      </c>
      <c r="Q16" s="60">
        <f t="shared" si="9"/>
        <v>0</v>
      </c>
      <c r="R16" s="60">
        <f t="shared" si="10"/>
        <v>62042.89379</v>
      </c>
      <c r="S16" s="62">
        <f t="shared" si="16"/>
        <v>11476.59324</v>
      </c>
      <c r="T16" s="62">
        <f t="shared" si="11"/>
        <v>0</v>
      </c>
      <c r="U16" s="62">
        <f t="shared" si="12"/>
        <v>0</v>
      </c>
      <c r="V16" s="62">
        <f t="shared" si="13"/>
        <v>11476.59324</v>
      </c>
    </row>
    <row r="17" ht="12.75" customHeight="1">
      <c r="A17" s="1"/>
      <c r="B17" s="63"/>
      <c r="C17" s="64"/>
      <c r="D17" s="65"/>
      <c r="E17" s="66"/>
      <c r="F17" s="67" t="str">
        <f>IFERROR(VLOOKUP(B17,aux_ptax_historical_data!$B:$E,4,0),"")</f>
        <v/>
      </c>
      <c r="G17" s="60">
        <f t="shared" si="1"/>
        <v>0</v>
      </c>
      <c r="H17" s="60">
        <f t="shared" si="2"/>
        <v>0</v>
      </c>
      <c r="I17" s="60">
        <f t="shared" si="3"/>
        <v>60.29435743</v>
      </c>
      <c r="J17" s="60">
        <f t="shared" si="4"/>
        <v>0</v>
      </c>
      <c r="K17" s="61">
        <f t="shared" si="14"/>
        <v>1029</v>
      </c>
      <c r="L17" s="61">
        <f t="shared" si="5"/>
        <v>0</v>
      </c>
      <c r="M17" s="61">
        <f t="shared" si="6"/>
        <v>0</v>
      </c>
      <c r="N17" s="61">
        <f t="shared" si="7"/>
        <v>1029</v>
      </c>
      <c r="O17" s="60">
        <f t="shared" si="15"/>
        <v>62042.89379</v>
      </c>
      <c r="P17" s="60">
        <f t="shared" si="8"/>
        <v>0</v>
      </c>
      <c r="Q17" s="60">
        <f t="shared" si="9"/>
        <v>0</v>
      </c>
      <c r="R17" s="60">
        <f t="shared" si="10"/>
        <v>62042.89379</v>
      </c>
      <c r="S17" s="62">
        <f t="shared" si="16"/>
        <v>11476.59324</v>
      </c>
      <c r="T17" s="62">
        <f t="shared" si="11"/>
        <v>0</v>
      </c>
      <c r="U17" s="62">
        <f t="shared" si="12"/>
        <v>0</v>
      </c>
      <c r="V17" s="62">
        <f t="shared" si="13"/>
        <v>11476.59324</v>
      </c>
    </row>
    <row r="18" ht="12.75" customHeight="1">
      <c r="A18" s="1"/>
      <c r="B18" s="49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ht="12.75" customHeight="1">
      <c r="A19" s="1"/>
      <c r="B19" s="49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ht="12.75" customHeight="1">
      <c r="A20" s="1"/>
      <c r="B20" s="49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ht="12.75" customHeight="1">
      <c r="A21" s="1"/>
      <c r="B21" s="49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ht="12.75" customHeight="1">
      <c r="A22" s="1"/>
      <c r="B22" s="49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ht="12.75" customHeight="1">
      <c r="A23" s="1"/>
      <c r="B23" s="49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ht="12.75" customHeight="1">
      <c r="A24" s="1"/>
      <c r="B24" s="49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ht="12.75" customHeight="1">
      <c r="A25" s="1"/>
      <c r="B25" s="49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ht="12.75" customHeight="1">
      <c r="A26" s="1"/>
      <c r="B26" s="49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ht="12.75" customHeight="1">
      <c r="A27" s="1"/>
      <c r="B27" s="49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ht="12.75" customHeight="1">
      <c r="A28" s="1"/>
      <c r="B28" s="49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ht="12.75" customHeight="1">
      <c r="A29" s="1"/>
      <c r="B29" s="49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ht="12.75" customHeight="1">
      <c r="A30" s="1"/>
      <c r="B30" s="49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ht="12.75" customHeight="1">
      <c r="A31" s="1"/>
      <c r="B31" s="49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ht="12.75" customHeight="1">
      <c r="A32" s="1"/>
      <c r="B32" s="49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ht="12.75" customHeight="1">
      <c r="A33" s="1"/>
      <c r="B33" s="49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ht="12.75" customHeight="1">
      <c r="A34" s="1"/>
      <c r="B34" s="49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ht="12.75" customHeight="1">
      <c r="A35" s="1"/>
      <c r="B35" s="49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ht="12.75" customHeight="1">
      <c r="A36" s="1"/>
      <c r="B36" s="49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ht="12.75" customHeight="1">
      <c r="A37" s="1"/>
      <c r="B37" s="49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ht="12.75" customHeight="1">
      <c r="A38" s="1"/>
      <c r="B38" s="49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ht="12.75" customHeight="1">
      <c r="A39" s="1"/>
      <c r="B39" s="49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ht="12.75" customHeight="1">
      <c r="A40" s="1"/>
      <c r="B40" s="49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ht="12.75" customHeight="1">
      <c r="A41" s="1"/>
      <c r="B41" s="49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ht="12.75" customHeight="1">
      <c r="A42" s="1"/>
      <c r="B42" s="49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ht="12.75" customHeight="1">
      <c r="A43" s="1"/>
      <c r="B43" s="49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ht="12.75" customHeight="1">
      <c r="A44" s="1"/>
      <c r="B44" s="49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ht="12.75" customHeight="1">
      <c r="A45" s="1"/>
      <c r="B45" s="49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ht="12.75" customHeight="1">
      <c r="A46" s="1"/>
      <c r="B46" s="49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ht="12.75" customHeight="1">
      <c r="A47" s="1"/>
      <c r="B47" s="49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ht="12.75" customHeight="1">
      <c r="A48" s="1"/>
      <c r="B48" s="49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ht="12.75" customHeight="1">
      <c r="A49" s="1"/>
      <c r="B49" s="49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ht="12.75" customHeight="1">
      <c r="A50" s="1"/>
      <c r="B50" s="49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ht="12.75" customHeight="1">
      <c r="A51" s="1"/>
      <c r="B51" s="49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ht="12.75" customHeight="1">
      <c r="A52" s="1"/>
      <c r="B52" s="49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ht="12.75" customHeight="1">
      <c r="A53" s="1"/>
      <c r="B53" s="49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ht="12.75" customHeight="1">
      <c r="A54" s="1"/>
      <c r="B54" s="49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ht="12.75" customHeight="1">
      <c r="A55" s="1"/>
      <c r="B55" s="49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ht="12.75" customHeight="1">
      <c r="A56" s="1"/>
      <c r="B56" s="49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ht="12.75" customHeight="1">
      <c r="A57" s="1"/>
      <c r="B57" s="49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ht="12.75" customHeight="1">
      <c r="A58" s="1"/>
      <c r="B58" s="49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ht="12.75" customHeight="1">
      <c r="A59" s="1"/>
      <c r="B59" s="49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ht="12.75" customHeight="1">
      <c r="A60" s="1"/>
      <c r="B60" s="49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ht="12.75" customHeight="1">
      <c r="A61" s="1"/>
      <c r="B61" s="49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ht="12.75" customHeight="1">
      <c r="A62" s="1"/>
      <c r="B62" s="49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ht="12.75" customHeight="1">
      <c r="A63" s="1"/>
      <c r="B63" s="49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ht="12.75" customHeight="1">
      <c r="A64" s="1"/>
      <c r="B64" s="49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ht="12.75" customHeight="1">
      <c r="A65" s="1"/>
      <c r="B65" s="49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ht="12.75" customHeight="1">
      <c r="A66" s="1"/>
      <c r="B66" s="49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ht="12.75" customHeight="1">
      <c r="A67" s="1"/>
      <c r="B67" s="49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ht="12.75" customHeight="1">
      <c r="A68" s="1"/>
      <c r="B68" s="49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ht="12.75" customHeight="1">
      <c r="A69" s="1"/>
      <c r="B69" s="49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ht="12.75" customHeight="1">
      <c r="A70" s="1"/>
      <c r="B70" s="49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ht="12.75" customHeight="1">
      <c r="A71" s="1"/>
      <c r="B71" s="49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ht="12.75" customHeight="1">
      <c r="A72" s="1"/>
      <c r="B72" s="49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ht="12.75" customHeight="1">
      <c r="A73" s="1"/>
      <c r="B73" s="49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ht="12.75" customHeight="1">
      <c r="A74" s="1"/>
      <c r="B74" s="49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ht="12.75" customHeight="1">
      <c r="A75" s="1"/>
      <c r="B75" s="49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ht="12.75" customHeight="1">
      <c r="A76" s="1"/>
      <c r="B76" s="49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ht="12.75" customHeight="1">
      <c r="A77" s="1"/>
      <c r="B77" s="49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ht="12.75" customHeight="1">
      <c r="A78" s="1"/>
      <c r="B78" s="49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ht="12.75" customHeight="1">
      <c r="A79" s="1"/>
      <c r="B79" s="49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ht="12.75" customHeight="1">
      <c r="A80" s="1"/>
      <c r="B80" s="49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ht="12.75" customHeight="1">
      <c r="A81" s="1"/>
      <c r="B81" s="49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ht="12.75" customHeight="1">
      <c r="A82" s="1"/>
      <c r="B82" s="49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ht="12.75" customHeight="1">
      <c r="A83" s="1"/>
      <c r="B83" s="49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ht="12.75" customHeight="1">
      <c r="A84" s="1"/>
      <c r="B84" s="49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ht="12.75" customHeight="1">
      <c r="A85" s="1"/>
      <c r="B85" s="49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ht="12.75" customHeight="1">
      <c r="A86" s="1"/>
      <c r="B86" s="49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ht="12.75" customHeight="1">
      <c r="A87" s="1"/>
      <c r="B87" s="49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ht="12.75" customHeight="1">
      <c r="A88" s="1"/>
      <c r="B88" s="49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ht="12.75" customHeight="1">
      <c r="A89" s="1"/>
      <c r="B89" s="49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ht="12.75" customHeight="1">
      <c r="A90" s="1"/>
      <c r="B90" s="49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ht="12.75" customHeight="1">
      <c r="A91" s="1"/>
      <c r="B91" s="49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ht="12.75" customHeight="1">
      <c r="A92" s="1"/>
      <c r="B92" s="49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ht="12.75" customHeight="1">
      <c r="A93" s="1"/>
      <c r="B93" s="49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ht="12.75" customHeight="1">
      <c r="A94" s="1"/>
      <c r="B94" s="49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ht="12.75" customHeight="1">
      <c r="A95" s="1"/>
      <c r="B95" s="49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ht="12.75" customHeight="1">
      <c r="A96" s="1"/>
      <c r="B96" s="49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ht="12.75" customHeight="1">
      <c r="A97" s="1"/>
      <c r="B97" s="49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ht="12.75" customHeight="1">
      <c r="A98" s="1"/>
      <c r="B98" s="49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ht="12.75" customHeight="1">
      <c r="A99" s="1"/>
      <c r="B99" s="49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ht="12.75" customHeight="1">
      <c r="A100" s="1"/>
      <c r="B100" s="49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ht="12.75" customHeight="1">
      <c r="A101" s="1"/>
      <c r="B101" s="49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ht="12.75" customHeight="1">
      <c r="A102" s="1"/>
      <c r="B102" s="49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ht="12.75" customHeight="1">
      <c r="A103" s="1"/>
      <c r="B103" s="49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ht="12.75" customHeight="1">
      <c r="A104" s="1"/>
      <c r="B104" s="49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ht="12.75" customHeight="1">
      <c r="A105" s="1"/>
      <c r="B105" s="49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ht="12.75" customHeight="1">
      <c r="A106" s="1"/>
      <c r="B106" s="49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ht="12.75" customHeight="1">
      <c r="A107" s="1"/>
      <c r="B107" s="49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ht="12.75" customHeight="1">
      <c r="A108" s="1"/>
      <c r="B108" s="49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ht="12.75" customHeight="1">
      <c r="A109" s="1"/>
      <c r="B109" s="49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ht="12.75" customHeight="1">
      <c r="A110" s="1"/>
      <c r="B110" s="49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ht="12.75" customHeight="1">
      <c r="A111" s="1"/>
      <c r="B111" s="49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ht="12.75" customHeight="1">
      <c r="A112" s="1"/>
      <c r="B112" s="49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ht="12.75" customHeight="1">
      <c r="A113" s="1"/>
      <c r="B113" s="49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ht="12.75" customHeight="1">
      <c r="A114" s="1"/>
      <c r="B114" s="49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ht="12.75" customHeight="1">
      <c r="A115" s="1"/>
      <c r="B115" s="49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ht="12.75" customHeight="1">
      <c r="A116" s="1"/>
      <c r="B116" s="49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ht="12.75" customHeight="1">
      <c r="A117" s="1"/>
      <c r="B117" s="49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ht="12.75" customHeight="1">
      <c r="A118" s="1"/>
      <c r="B118" s="49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ht="12.75" customHeight="1">
      <c r="A119" s="1"/>
      <c r="B119" s="49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ht="12.75" customHeight="1">
      <c r="A120" s="1"/>
      <c r="B120" s="49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ht="12.75" customHeight="1">
      <c r="A121" s="1"/>
      <c r="B121" s="49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ht="12.75" customHeight="1">
      <c r="A122" s="1"/>
      <c r="B122" s="49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ht="12.75" customHeight="1">
      <c r="A123" s="1"/>
      <c r="B123" s="49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ht="12.75" customHeight="1">
      <c r="A124" s="1"/>
      <c r="B124" s="49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ht="12.75" customHeight="1">
      <c r="A125" s="1"/>
      <c r="B125" s="49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ht="12.75" customHeight="1">
      <c r="A126" s="1"/>
      <c r="B126" s="49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ht="12.75" customHeight="1">
      <c r="A127" s="1"/>
      <c r="B127" s="49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ht="12.75" customHeight="1">
      <c r="A128" s="1"/>
      <c r="B128" s="49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ht="12.75" customHeight="1">
      <c r="A129" s="1"/>
      <c r="B129" s="49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ht="12.75" customHeight="1">
      <c r="A130" s="1"/>
      <c r="B130" s="49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ht="12.75" customHeight="1">
      <c r="A131" s="1"/>
      <c r="B131" s="49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ht="12.75" customHeight="1">
      <c r="A132" s="1"/>
      <c r="B132" s="49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ht="12.75" customHeight="1">
      <c r="A133" s="1"/>
      <c r="B133" s="49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ht="12.75" customHeight="1">
      <c r="A134" s="1"/>
      <c r="B134" s="49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ht="12.75" customHeight="1">
      <c r="A135" s="1"/>
      <c r="B135" s="49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ht="12.75" customHeight="1">
      <c r="A136" s="1"/>
      <c r="B136" s="49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ht="12.75" customHeight="1">
      <c r="A137" s="1"/>
      <c r="B137" s="49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ht="12.75" customHeight="1">
      <c r="A138" s="1"/>
      <c r="B138" s="49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ht="12.75" customHeight="1">
      <c r="A139" s="1"/>
      <c r="B139" s="49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ht="12.75" customHeight="1">
      <c r="A140" s="1"/>
      <c r="B140" s="49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ht="12.75" customHeight="1">
      <c r="A141" s="1"/>
      <c r="B141" s="49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ht="12.75" customHeight="1">
      <c r="A142" s="1"/>
      <c r="B142" s="49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ht="12.75" customHeight="1">
      <c r="A143" s="1"/>
      <c r="B143" s="49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ht="12.75" customHeight="1">
      <c r="A144" s="1"/>
      <c r="B144" s="49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ht="12.75" customHeight="1">
      <c r="A145" s="1"/>
      <c r="B145" s="49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ht="12.75" customHeight="1">
      <c r="A146" s="1"/>
      <c r="B146" s="49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ht="12.75" customHeight="1">
      <c r="A147" s="1"/>
      <c r="B147" s="49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ht="12.75" customHeight="1">
      <c r="A148" s="1"/>
      <c r="B148" s="49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ht="12.75" customHeight="1">
      <c r="A149" s="1"/>
      <c r="B149" s="49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ht="12.75" customHeight="1">
      <c r="A150" s="1"/>
      <c r="B150" s="49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ht="12.75" customHeight="1">
      <c r="A151" s="1"/>
      <c r="B151" s="49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ht="12.75" customHeight="1">
      <c r="A152" s="1"/>
      <c r="B152" s="49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ht="12.75" customHeight="1">
      <c r="A153" s="1"/>
      <c r="B153" s="49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ht="12.75" customHeight="1">
      <c r="A154" s="1"/>
      <c r="B154" s="49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ht="12.75" customHeight="1">
      <c r="A155" s="1"/>
      <c r="B155" s="49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ht="12.75" customHeight="1">
      <c r="A156" s="1"/>
      <c r="B156" s="49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ht="12.75" customHeight="1">
      <c r="A157" s="1"/>
      <c r="B157" s="49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ht="12.75" customHeight="1">
      <c r="A158" s="1"/>
      <c r="B158" s="49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ht="12.75" customHeight="1">
      <c r="A159" s="1"/>
      <c r="B159" s="49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ht="12.75" customHeight="1">
      <c r="A160" s="1"/>
      <c r="B160" s="49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ht="12.75" customHeight="1">
      <c r="A161" s="1"/>
      <c r="B161" s="49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ht="12.75" customHeight="1">
      <c r="A162" s="1"/>
      <c r="B162" s="49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ht="12.75" customHeight="1">
      <c r="A163" s="1"/>
      <c r="B163" s="49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ht="12.75" customHeight="1">
      <c r="A164" s="1"/>
      <c r="B164" s="49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ht="12.75" customHeight="1">
      <c r="A165" s="1"/>
      <c r="B165" s="49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ht="12.75" customHeight="1">
      <c r="A166" s="1"/>
      <c r="B166" s="49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ht="12.75" customHeight="1">
      <c r="A167" s="1"/>
      <c r="B167" s="49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ht="12.75" customHeight="1">
      <c r="A168" s="1"/>
      <c r="B168" s="49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ht="12.75" customHeight="1">
      <c r="A169" s="1"/>
      <c r="B169" s="49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ht="12.75" customHeight="1">
      <c r="A170" s="1"/>
      <c r="B170" s="49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ht="12.75" customHeight="1">
      <c r="A171" s="1"/>
      <c r="B171" s="49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ht="12.75" customHeight="1">
      <c r="A172" s="1"/>
      <c r="B172" s="49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ht="12.75" customHeight="1">
      <c r="A173" s="1"/>
      <c r="B173" s="49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ht="12.75" customHeight="1">
      <c r="A174" s="1"/>
      <c r="B174" s="49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ht="12.75" customHeight="1">
      <c r="A175" s="1"/>
      <c r="B175" s="49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ht="12.75" customHeight="1">
      <c r="A176" s="1"/>
      <c r="B176" s="49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ht="12.75" customHeight="1">
      <c r="A177" s="1"/>
      <c r="B177" s="49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ht="12.75" customHeight="1">
      <c r="A178" s="1"/>
      <c r="B178" s="49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ht="12.75" customHeight="1">
      <c r="A179" s="1"/>
      <c r="B179" s="49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ht="12.75" customHeight="1">
      <c r="A180" s="1"/>
      <c r="B180" s="49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ht="12.75" customHeight="1">
      <c r="A181" s="1"/>
      <c r="B181" s="49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ht="12.75" customHeight="1">
      <c r="A182" s="1"/>
      <c r="B182" s="49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ht="12.75" customHeight="1">
      <c r="A183" s="1"/>
      <c r="B183" s="49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ht="12.75" customHeight="1">
      <c r="A184" s="1"/>
      <c r="B184" s="49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ht="12.75" customHeight="1">
      <c r="A185" s="1"/>
      <c r="B185" s="49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ht="12.75" customHeight="1">
      <c r="A186" s="1"/>
      <c r="B186" s="49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ht="12.75" customHeight="1">
      <c r="A187" s="1"/>
      <c r="B187" s="49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ht="12.75" customHeight="1">
      <c r="A188" s="1"/>
      <c r="B188" s="49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ht="12.75" customHeight="1">
      <c r="A189" s="1"/>
      <c r="B189" s="49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ht="12.75" customHeight="1">
      <c r="A190" s="1"/>
      <c r="B190" s="49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ht="12.75" customHeight="1">
      <c r="A191" s="1"/>
      <c r="B191" s="49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ht="12.75" customHeight="1">
      <c r="A192" s="1"/>
      <c r="B192" s="49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ht="12.75" customHeight="1">
      <c r="A193" s="1"/>
      <c r="B193" s="49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ht="12.75" customHeight="1">
      <c r="A194" s="1"/>
      <c r="B194" s="49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ht="12.75" customHeight="1">
      <c r="A195" s="1"/>
      <c r="B195" s="49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ht="12.75" customHeight="1">
      <c r="A196" s="1"/>
      <c r="B196" s="49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ht="12.75" customHeight="1">
      <c r="A197" s="1"/>
      <c r="B197" s="49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ht="12.75" customHeight="1">
      <c r="A198" s="1"/>
      <c r="B198" s="49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ht="12.75" customHeight="1">
      <c r="A199" s="1"/>
      <c r="B199" s="49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ht="12.75" customHeight="1">
      <c r="A200" s="1"/>
      <c r="B200" s="49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ht="12.75" customHeight="1">
      <c r="A201" s="1"/>
      <c r="B201" s="49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 ht="12.75" customHeight="1">
      <c r="A202" s="1"/>
      <c r="B202" s="49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 ht="12.75" customHeight="1">
      <c r="A203" s="1"/>
      <c r="B203" s="49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 ht="12.75" customHeight="1">
      <c r="A204" s="1"/>
      <c r="B204" s="49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 ht="12.75" customHeight="1">
      <c r="A205" s="1"/>
      <c r="B205" s="49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 ht="12.75" customHeight="1">
      <c r="A206" s="1"/>
      <c r="B206" s="49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 ht="12.75" customHeight="1">
      <c r="A207" s="1"/>
      <c r="B207" s="49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 ht="12.75" customHeight="1">
      <c r="A208" s="1"/>
      <c r="B208" s="49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 ht="12.75" customHeight="1">
      <c r="A209" s="1"/>
      <c r="B209" s="49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 ht="12.75" customHeight="1">
      <c r="A210" s="1"/>
      <c r="B210" s="49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 ht="12.75" customHeight="1">
      <c r="A211" s="1"/>
      <c r="B211" s="49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 ht="12.75" customHeight="1">
      <c r="A212" s="1"/>
      <c r="B212" s="49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 ht="12.75" customHeight="1">
      <c r="A213" s="1"/>
      <c r="B213" s="49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 ht="12.75" customHeight="1">
      <c r="A214" s="1"/>
      <c r="B214" s="49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 ht="12.75" customHeight="1">
      <c r="A215" s="1"/>
      <c r="B215" s="49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 ht="12.75" customHeight="1">
      <c r="A216" s="1"/>
      <c r="B216" s="49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 ht="12.75" customHeight="1">
      <c r="A217" s="1"/>
      <c r="B217" s="49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 ht="12.75" customHeight="1">
      <c r="A218" s="1"/>
      <c r="B218" s="49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 ht="12.75" customHeight="1">
      <c r="A219" s="1"/>
      <c r="B219" s="49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 ht="12.75" customHeight="1">
      <c r="A220" s="1"/>
      <c r="B220" s="49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mergeCells count="4">
    <mergeCell ref="B2:J2"/>
    <mergeCell ref="K2:N2"/>
    <mergeCell ref="O2:R2"/>
    <mergeCell ref="S2:V2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63"/>
    <col customWidth="1" min="2" max="2" width="10.13"/>
    <col customWidth="1" min="3" max="3" width="7.13"/>
    <col customWidth="1" min="4" max="4" width="13.88"/>
    <col customWidth="1" min="5" max="5" width="12.38"/>
    <col customWidth="1" min="6" max="6" width="2.63"/>
  </cols>
  <sheetData>
    <row r="1" ht="12.75" customHeight="1">
      <c r="A1" s="68"/>
      <c r="B1" s="69"/>
      <c r="C1" s="68"/>
      <c r="D1" s="68"/>
      <c r="E1" s="68"/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2.75" customHeight="1">
      <c r="A2" s="68"/>
      <c r="B2" s="72" t="s">
        <v>17</v>
      </c>
      <c r="C2" s="73" t="s">
        <v>51</v>
      </c>
      <c r="D2" s="73" t="s">
        <v>52</v>
      </c>
      <c r="E2" s="73" t="s">
        <v>53</v>
      </c>
      <c r="F2" s="70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2.75" customHeight="1">
      <c r="A3" s="68"/>
      <c r="B3" s="74">
        <v>45293.0</v>
      </c>
      <c r="C3" s="75" t="s">
        <v>54</v>
      </c>
      <c r="D3" s="76">
        <v>4.891</v>
      </c>
      <c r="E3" s="76">
        <v>4.8916</v>
      </c>
      <c r="F3" s="70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2.75" customHeight="1">
      <c r="A4" s="68"/>
      <c r="B4" s="74">
        <v>45294.0</v>
      </c>
      <c r="C4" s="75" t="s">
        <v>54</v>
      </c>
      <c r="D4" s="76">
        <v>4.9206</v>
      </c>
      <c r="E4" s="76">
        <v>4.9212</v>
      </c>
      <c r="F4" s="70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2.75" customHeight="1">
      <c r="A5" s="68"/>
      <c r="B5" s="74">
        <v>45295.0</v>
      </c>
      <c r="C5" s="75" t="s">
        <v>54</v>
      </c>
      <c r="D5" s="76">
        <v>4.9182</v>
      </c>
      <c r="E5" s="76">
        <v>4.9188</v>
      </c>
      <c r="F5" s="70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2.75" customHeight="1">
      <c r="A6" s="68"/>
      <c r="B6" s="74">
        <v>45296.0</v>
      </c>
      <c r="C6" s="75" t="s">
        <v>54</v>
      </c>
      <c r="D6" s="76">
        <v>4.8893</v>
      </c>
      <c r="E6" s="76">
        <v>4.8899</v>
      </c>
      <c r="F6" s="70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2.75" customHeight="1">
      <c r="A7" s="68"/>
      <c r="B7" s="74">
        <v>45299.0</v>
      </c>
      <c r="C7" s="75" t="s">
        <v>54</v>
      </c>
      <c r="D7" s="76">
        <v>4.8844</v>
      </c>
      <c r="E7" s="76">
        <v>4.885</v>
      </c>
      <c r="F7" s="70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2.75" customHeight="1">
      <c r="A8" s="68"/>
      <c r="B8" s="74">
        <v>45300.0</v>
      </c>
      <c r="C8" s="75" t="s">
        <v>54</v>
      </c>
      <c r="D8" s="76">
        <v>4.8931</v>
      </c>
      <c r="E8" s="76">
        <v>4.8937</v>
      </c>
      <c r="F8" s="70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2.75" customHeight="1">
      <c r="A9" s="68"/>
      <c r="B9" s="74">
        <v>45301.0</v>
      </c>
      <c r="C9" s="75" t="s">
        <v>54</v>
      </c>
      <c r="D9" s="76">
        <v>4.8895</v>
      </c>
      <c r="E9" s="76">
        <v>4.8901</v>
      </c>
      <c r="F9" s="70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2.75" customHeight="1">
      <c r="A10" s="68"/>
      <c r="B10" s="74">
        <v>45302.0</v>
      </c>
      <c r="C10" s="75" t="s">
        <v>54</v>
      </c>
      <c r="D10" s="76">
        <v>4.8788</v>
      </c>
      <c r="E10" s="76">
        <v>4.8794</v>
      </c>
      <c r="F10" s="70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2.75" customHeight="1">
      <c r="A11" s="68"/>
      <c r="B11" s="74">
        <v>45303.0</v>
      </c>
      <c r="C11" s="75" t="s">
        <v>54</v>
      </c>
      <c r="D11" s="76">
        <v>4.8537</v>
      </c>
      <c r="E11" s="76">
        <v>4.8543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2.75" customHeight="1">
      <c r="A12" s="68"/>
      <c r="B12" s="74">
        <v>45306.0</v>
      </c>
      <c r="C12" s="75" t="s">
        <v>54</v>
      </c>
      <c r="D12" s="76">
        <v>4.8759</v>
      </c>
      <c r="E12" s="76">
        <v>4.8765</v>
      </c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2.75" customHeight="1">
      <c r="A13" s="68"/>
      <c r="B13" s="74">
        <v>45307.0</v>
      </c>
      <c r="C13" s="75" t="s">
        <v>54</v>
      </c>
      <c r="D13" s="76">
        <v>4.9032</v>
      </c>
      <c r="E13" s="76">
        <v>4.9038</v>
      </c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2.75" customHeight="1">
      <c r="A14" s="68"/>
      <c r="B14" s="74">
        <v>45308.0</v>
      </c>
      <c r="C14" s="75" t="s">
        <v>54</v>
      </c>
      <c r="D14" s="76">
        <v>4.934</v>
      </c>
      <c r="E14" s="76">
        <v>4.9346</v>
      </c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2.75" customHeight="1">
      <c r="A15" s="68"/>
      <c r="B15" s="74">
        <v>45309.0</v>
      </c>
      <c r="C15" s="75" t="s">
        <v>54</v>
      </c>
      <c r="D15" s="76">
        <v>4.9397</v>
      </c>
      <c r="E15" s="76">
        <v>4.9403</v>
      </c>
      <c r="F15" s="70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2.75" customHeight="1">
      <c r="A16" s="68"/>
      <c r="B16" s="74">
        <v>45310.0</v>
      </c>
      <c r="C16" s="75" t="s">
        <v>54</v>
      </c>
      <c r="D16" s="76">
        <v>4.9217</v>
      </c>
      <c r="E16" s="76">
        <v>4.9223</v>
      </c>
      <c r="F16" s="70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2.75" customHeight="1">
      <c r="A17" s="68"/>
      <c r="B17" s="74">
        <v>45313.0</v>
      </c>
      <c r="C17" s="75" t="s">
        <v>54</v>
      </c>
      <c r="D17" s="76">
        <v>4.9484</v>
      </c>
      <c r="E17" s="76">
        <v>4.949</v>
      </c>
      <c r="F17" s="70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2.75" customHeight="1">
      <c r="A18" s="68"/>
      <c r="B18" s="74">
        <v>45314.0</v>
      </c>
      <c r="C18" s="75" t="s">
        <v>54</v>
      </c>
      <c r="D18" s="76">
        <v>4.9709</v>
      </c>
      <c r="E18" s="76">
        <v>4.9715</v>
      </c>
      <c r="F18" s="70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2.75" customHeight="1">
      <c r="A19" s="68"/>
      <c r="B19" s="74">
        <v>45315.0</v>
      </c>
      <c r="C19" s="75" t="s">
        <v>54</v>
      </c>
      <c r="D19" s="76">
        <v>4.9186</v>
      </c>
      <c r="E19" s="76">
        <v>4.9192</v>
      </c>
      <c r="F19" s="70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2.75" customHeight="1">
      <c r="A20" s="68"/>
      <c r="B20" s="74">
        <v>45316.0</v>
      </c>
      <c r="C20" s="75" t="s">
        <v>54</v>
      </c>
      <c r="D20" s="76">
        <v>4.9226</v>
      </c>
      <c r="E20" s="76">
        <v>4.9232</v>
      </c>
      <c r="F20" s="70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2.75" customHeight="1">
      <c r="A21" s="68"/>
      <c r="B21" s="74">
        <v>45317.0</v>
      </c>
      <c r="C21" s="75" t="s">
        <v>54</v>
      </c>
      <c r="D21" s="76">
        <v>4.9119</v>
      </c>
      <c r="E21" s="76">
        <v>4.9125</v>
      </c>
      <c r="F21" s="70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2.75" customHeight="1">
      <c r="A22" s="68"/>
      <c r="B22" s="74">
        <v>45320.0</v>
      </c>
      <c r="C22" s="75" t="s">
        <v>54</v>
      </c>
      <c r="D22" s="76">
        <v>4.9219</v>
      </c>
      <c r="E22" s="76">
        <v>4.9225</v>
      </c>
      <c r="F22" s="70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2.75" customHeight="1">
      <c r="A23" s="68"/>
      <c r="B23" s="74">
        <v>45321.0</v>
      </c>
      <c r="C23" s="75" t="s">
        <v>54</v>
      </c>
      <c r="D23" s="76">
        <v>4.9632</v>
      </c>
      <c r="E23" s="76">
        <v>4.9638</v>
      </c>
      <c r="F23" s="70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2.75" customHeight="1">
      <c r="A24" s="68"/>
      <c r="B24" s="74">
        <v>45322.0</v>
      </c>
      <c r="C24" s="75" t="s">
        <v>54</v>
      </c>
      <c r="D24" s="76">
        <v>4.9529</v>
      </c>
      <c r="E24" s="76">
        <v>4.9535</v>
      </c>
      <c r="F24" s="70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2.75" customHeight="1">
      <c r="A25" s="68"/>
      <c r="B25" s="74">
        <v>45323.0</v>
      </c>
      <c r="C25" s="75" t="s">
        <v>54</v>
      </c>
      <c r="D25" s="76">
        <v>4.9344</v>
      </c>
      <c r="E25" s="76">
        <v>4.935</v>
      </c>
      <c r="F25" s="70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2.75" customHeight="1">
      <c r="A26" s="68"/>
      <c r="B26" s="74">
        <v>45324.0</v>
      </c>
      <c r="C26" s="75" t="s">
        <v>54</v>
      </c>
      <c r="D26" s="76">
        <v>4.9465</v>
      </c>
      <c r="E26" s="76">
        <v>4.9471</v>
      </c>
      <c r="F26" s="70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2.75" customHeight="1">
      <c r="A27" s="68"/>
      <c r="B27" s="74">
        <v>45327.0</v>
      </c>
      <c r="C27" s="75" t="s">
        <v>54</v>
      </c>
      <c r="D27" s="76">
        <v>5.0047</v>
      </c>
      <c r="E27" s="76">
        <v>5.0053</v>
      </c>
      <c r="F27" s="70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2.75" customHeight="1">
      <c r="A28" s="68"/>
      <c r="B28" s="74">
        <v>45328.0</v>
      </c>
      <c r="C28" s="75" t="s">
        <v>54</v>
      </c>
      <c r="D28" s="76">
        <v>4.9681</v>
      </c>
      <c r="E28" s="76">
        <v>4.9687</v>
      </c>
      <c r="F28" s="70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2.75" customHeight="1">
      <c r="A29" s="68"/>
      <c r="B29" s="74">
        <v>45329.0</v>
      </c>
      <c r="C29" s="75" t="s">
        <v>54</v>
      </c>
      <c r="D29" s="76">
        <v>4.9602</v>
      </c>
      <c r="E29" s="76">
        <v>4.9608</v>
      </c>
      <c r="F29" s="70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2.75" customHeight="1">
      <c r="A30" s="68"/>
      <c r="B30" s="74">
        <v>45330.0</v>
      </c>
      <c r="C30" s="75" t="s">
        <v>54</v>
      </c>
      <c r="D30" s="76">
        <v>4.9798</v>
      </c>
      <c r="E30" s="76">
        <v>4.9804</v>
      </c>
      <c r="F30" s="70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2.75" customHeight="1">
      <c r="A31" s="68"/>
      <c r="B31" s="74">
        <v>45331.0</v>
      </c>
      <c r="C31" s="75" t="s">
        <v>54</v>
      </c>
      <c r="D31" s="76">
        <v>4.9711</v>
      </c>
      <c r="E31" s="76">
        <v>4.9717</v>
      </c>
      <c r="F31" s="70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2.75" customHeight="1">
      <c r="A32" s="68"/>
      <c r="B32" s="74">
        <v>45336.0</v>
      </c>
      <c r="C32" s="75" t="s">
        <v>54</v>
      </c>
      <c r="D32" s="76">
        <v>4.9717</v>
      </c>
      <c r="E32" s="76">
        <v>4.9723</v>
      </c>
      <c r="F32" s="70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2.75" customHeight="1">
      <c r="A33" s="68"/>
      <c r="B33" s="74">
        <v>45337.0</v>
      </c>
      <c r="C33" s="75" t="s">
        <v>54</v>
      </c>
      <c r="D33" s="76">
        <v>4.9704</v>
      </c>
      <c r="E33" s="76">
        <v>4.971</v>
      </c>
      <c r="F33" s="70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2.75" customHeight="1">
      <c r="A34" s="68"/>
      <c r="B34" s="74">
        <v>45338.0</v>
      </c>
      <c r="C34" s="75" t="s">
        <v>54</v>
      </c>
      <c r="D34" s="76">
        <v>4.9755</v>
      </c>
      <c r="E34" s="76">
        <v>4.9761</v>
      </c>
      <c r="F34" s="70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2.75" customHeight="1">
      <c r="A35" s="68"/>
      <c r="B35" s="74">
        <v>45341.0</v>
      </c>
      <c r="C35" s="75" t="s">
        <v>54</v>
      </c>
      <c r="D35" s="76">
        <v>4.9579</v>
      </c>
      <c r="E35" s="76">
        <v>4.9585</v>
      </c>
      <c r="F35" s="70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2.75" customHeight="1">
      <c r="A36" s="68"/>
      <c r="B36" s="74">
        <v>45342.0</v>
      </c>
      <c r="C36" s="75" t="s">
        <v>54</v>
      </c>
      <c r="D36" s="76">
        <v>4.9402</v>
      </c>
      <c r="E36" s="76">
        <v>4.9408</v>
      </c>
      <c r="F36" s="70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2.75" customHeight="1">
      <c r="A37" s="68"/>
      <c r="B37" s="74">
        <v>45343.0</v>
      </c>
      <c r="C37" s="75" t="s">
        <v>54</v>
      </c>
      <c r="D37" s="76">
        <v>4.9297</v>
      </c>
      <c r="E37" s="76">
        <v>4.9303</v>
      </c>
      <c r="F37" s="70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2.75" customHeight="1">
      <c r="A38" s="68"/>
      <c r="B38" s="74">
        <v>45344.0</v>
      </c>
      <c r="C38" s="75" t="s">
        <v>54</v>
      </c>
      <c r="D38" s="76">
        <v>4.9413</v>
      </c>
      <c r="E38" s="76">
        <v>4.9419</v>
      </c>
      <c r="F38" s="70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2.75" customHeight="1">
      <c r="A39" s="68"/>
      <c r="B39" s="74">
        <v>45345.0</v>
      </c>
      <c r="C39" s="75" t="s">
        <v>54</v>
      </c>
      <c r="D39" s="76">
        <v>4.9845</v>
      </c>
      <c r="E39" s="76">
        <v>4.9851</v>
      </c>
      <c r="F39" s="70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2.75" customHeight="1">
      <c r="A40" s="68"/>
      <c r="B40" s="74">
        <v>45348.0</v>
      </c>
      <c r="C40" s="75" t="s">
        <v>54</v>
      </c>
      <c r="D40" s="76">
        <v>4.9813</v>
      </c>
      <c r="E40" s="76">
        <v>4.9819</v>
      </c>
      <c r="F40" s="70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2.75" customHeight="1">
      <c r="A41" s="68"/>
      <c r="B41" s="74">
        <v>45349.0</v>
      </c>
      <c r="C41" s="75" t="s">
        <v>54</v>
      </c>
      <c r="D41" s="76">
        <v>4.9569</v>
      </c>
      <c r="E41" s="76">
        <v>4.9575</v>
      </c>
      <c r="F41" s="70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2.75" customHeight="1">
      <c r="A42" s="68"/>
      <c r="B42" s="74">
        <v>45350.0</v>
      </c>
      <c r="C42" s="75" t="s">
        <v>54</v>
      </c>
      <c r="D42" s="76">
        <v>4.9551</v>
      </c>
      <c r="E42" s="76">
        <v>4.9557</v>
      </c>
      <c r="F42" s="70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2.75" customHeight="1">
      <c r="A43" s="68"/>
      <c r="B43" s="74">
        <v>45351.0</v>
      </c>
      <c r="C43" s="75" t="s">
        <v>54</v>
      </c>
      <c r="D43" s="76">
        <v>4.9827</v>
      </c>
      <c r="E43" s="76">
        <v>4.9833</v>
      </c>
      <c r="F43" s="70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2.75" customHeight="1">
      <c r="A44" s="68"/>
      <c r="B44" s="74">
        <v>45352.0</v>
      </c>
      <c r="C44" s="75" t="s">
        <v>54</v>
      </c>
      <c r="D44" s="76">
        <v>4.959</v>
      </c>
      <c r="E44" s="76">
        <v>4.9596</v>
      </c>
      <c r="F44" s="70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2.75" customHeight="1">
      <c r="A45" s="68"/>
      <c r="B45" s="74">
        <v>45355.0</v>
      </c>
      <c r="C45" s="75" t="s">
        <v>54</v>
      </c>
      <c r="D45" s="76">
        <v>4.9469</v>
      </c>
      <c r="E45" s="76">
        <v>4.9475</v>
      </c>
      <c r="F45" s="70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2.75" customHeight="1">
      <c r="A46" s="68"/>
      <c r="B46" s="74">
        <v>45356.0</v>
      </c>
      <c r="C46" s="75" t="s">
        <v>54</v>
      </c>
      <c r="D46" s="76">
        <v>4.9482</v>
      </c>
      <c r="E46" s="76">
        <v>4.9488</v>
      </c>
      <c r="F46" s="70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2.75" customHeight="1">
      <c r="A47" s="68"/>
      <c r="B47" s="74">
        <v>45357.0</v>
      </c>
      <c r="C47" s="75" t="s">
        <v>54</v>
      </c>
      <c r="D47" s="76">
        <v>4.9392</v>
      </c>
      <c r="E47" s="76">
        <v>4.9398</v>
      </c>
      <c r="F47" s="70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2.75" customHeight="1">
      <c r="A48" s="68"/>
      <c r="B48" s="74">
        <v>45358.0</v>
      </c>
      <c r="C48" s="75" t="s">
        <v>54</v>
      </c>
      <c r="D48" s="76">
        <v>4.9358</v>
      </c>
      <c r="E48" s="76">
        <v>4.9364</v>
      </c>
      <c r="F48" s="70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2.75" customHeight="1">
      <c r="A49" s="68"/>
      <c r="B49" s="74">
        <v>45359.0</v>
      </c>
      <c r="C49" s="75" t="s">
        <v>54</v>
      </c>
      <c r="D49" s="76">
        <v>4.9745</v>
      </c>
      <c r="E49" s="76">
        <v>4.9751</v>
      </c>
      <c r="F49" s="70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2.75" customHeight="1">
      <c r="A50" s="68"/>
      <c r="B50" s="74">
        <v>45362.0</v>
      </c>
      <c r="C50" s="75" t="s">
        <v>54</v>
      </c>
      <c r="D50" s="76">
        <v>4.9771</v>
      </c>
      <c r="E50" s="76">
        <v>4.9777</v>
      </c>
      <c r="F50" s="70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2.75" customHeight="1">
      <c r="A51" s="68"/>
      <c r="B51" s="74">
        <v>45363.0</v>
      </c>
      <c r="C51" s="75" t="s">
        <v>54</v>
      </c>
      <c r="D51" s="76">
        <v>4.9807</v>
      </c>
      <c r="E51" s="76">
        <v>4.9813</v>
      </c>
      <c r="F51" s="70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2.75" customHeight="1">
      <c r="A52" s="68"/>
      <c r="B52" s="74">
        <v>45364.0</v>
      </c>
      <c r="C52" s="75" t="s">
        <v>54</v>
      </c>
      <c r="D52" s="76">
        <v>4.9797</v>
      </c>
      <c r="E52" s="76">
        <v>4.9803</v>
      </c>
      <c r="F52" s="70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2.75" customHeight="1">
      <c r="A53" s="68"/>
      <c r="B53" s="74">
        <v>45365.0</v>
      </c>
      <c r="C53" s="75" t="s">
        <v>54</v>
      </c>
      <c r="D53" s="76">
        <v>4.9762</v>
      </c>
      <c r="E53" s="76">
        <v>4.9768</v>
      </c>
      <c r="F53" s="70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2.75" customHeight="1">
      <c r="A54" s="68"/>
      <c r="B54" s="74">
        <v>45366.0</v>
      </c>
      <c r="C54" s="75" t="s">
        <v>54</v>
      </c>
      <c r="D54" s="76">
        <v>4.9931</v>
      </c>
      <c r="E54" s="76">
        <v>4.9937</v>
      </c>
      <c r="F54" s="70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2.75" customHeight="1">
      <c r="A55" s="68"/>
      <c r="B55" s="74">
        <v>45369.0</v>
      </c>
      <c r="C55" s="75" t="s">
        <v>54</v>
      </c>
      <c r="D55" s="76">
        <v>5.0118</v>
      </c>
      <c r="E55" s="76">
        <v>5.0124</v>
      </c>
      <c r="F55" s="70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2.75" customHeight="1">
      <c r="A56" s="68"/>
      <c r="B56" s="74">
        <v>45370.0</v>
      </c>
      <c r="C56" s="75" t="s">
        <v>54</v>
      </c>
      <c r="D56" s="76">
        <v>5.0346</v>
      </c>
      <c r="E56" s="76">
        <v>5.0352</v>
      </c>
      <c r="F56" s="70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2.75" customHeight="1">
      <c r="A57" s="68"/>
      <c r="B57" s="74">
        <v>45371.0</v>
      </c>
      <c r="C57" s="75" t="s">
        <v>54</v>
      </c>
      <c r="D57" s="76">
        <v>5.0114</v>
      </c>
      <c r="E57" s="76">
        <v>5.012</v>
      </c>
      <c r="F57" s="70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2.75" customHeight="1">
      <c r="A58" s="68"/>
      <c r="B58" s="74">
        <v>45372.0</v>
      </c>
      <c r="C58" s="75" t="s">
        <v>54</v>
      </c>
      <c r="D58" s="76">
        <v>4.9801</v>
      </c>
      <c r="E58" s="76">
        <v>4.9807</v>
      </c>
      <c r="F58" s="70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2.75" customHeight="1">
      <c r="A59" s="68"/>
      <c r="B59" s="74">
        <v>45373.0</v>
      </c>
      <c r="C59" s="75" t="s">
        <v>54</v>
      </c>
      <c r="D59" s="76">
        <v>4.9891</v>
      </c>
      <c r="E59" s="76">
        <v>4.9897</v>
      </c>
      <c r="F59" s="70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2.75" customHeight="1">
      <c r="A60" s="68"/>
      <c r="B60" s="74">
        <v>45376.0</v>
      </c>
      <c r="C60" s="75" t="s">
        <v>54</v>
      </c>
      <c r="D60" s="76">
        <v>4.9863</v>
      </c>
      <c r="E60" s="76">
        <v>4.9869</v>
      </c>
      <c r="F60" s="70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2.75" customHeight="1">
      <c r="A61" s="68"/>
      <c r="B61" s="74">
        <v>45377.0</v>
      </c>
      <c r="C61" s="75" t="s">
        <v>54</v>
      </c>
      <c r="D61" s="76">
        <v>4.9864</v>
      </c>
      <c r="E61" s="76">
        <v>4.987</v>
      </c>
      <c r="F61" s="70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2.75" customHeight="1">
      <c r="A62" s="68"/>
      <c r="B62" s="74">
        <v>45378.0</v>
      </c>
      <c r="C62" s="75" t="s">
        <v>54</v>
      </c>
      <c r="D62" s="76">
        <v>4.985</v>
      </c>
      <c r="E62" s="76">
        <v>4.9856</v>
      </c>
      <c r="F62" s="70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2.75" customHeight="1">
      <c r="A63" s="68"/>
      <c r="B63" s="74">
        <v>45379.0</v>
      </c>
      <c r="C63" s="75" t="s">
        <v>54</v>
      </c>
      <c r="D63" s="76">
        <v>4.9956</v>
      </c>
      <c r="E63" s="76">
        <v>4.9962</v>
      </c>
      <c r="F63" s="70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2.75" customHeight="1">
      <c r="A64" s="68"/>
      <c r="B64" s="74">
        <v>45383.0</v>
      </c>
      <c r="C64" s="75" t="s">
        <v>54</v>
      </c>
      <c r="D64" s="76">
        <v>5.0526</v>
      </c>
      <c r="E64" s="76">
        <v>5.0532</v>
      </c>
      <c r="F64" s="70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2.75" customHeight="1">
      <c r="A65" s="68"/>
      <c r="B65" s="74">
        <v>45384.0</v>
      </c>
      <c r="C65" s="75" t="s">
        <v>54</v>
      </c>
      <c r="D65" s="76">
        <v>5.0469</v>
      </c>
      <c r="E65" s="76">
        <v>5.0476</v>
      </c>
      <c r="F65" s="70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2.75" customHeight="1">
      <c r="A66" s="68"/>
      <c r="B66" s="74">
        <v>45385.0</v>
      </c>
      <c r="C66" s="75" t="s">
        <v>54</v>
      </c>
      <c r="D66" s="76">
        <v>5.0718</v>
      </c>
      <c r="E66" s="76">
        <v>5.0724</v>
      </c>
      <c r="F66" s="70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2.75" customHeight="1">
      <c r="A67" s="68"/>
      <c r="B67" s="74">
        <v>45386.0</v>
      </c>
      <c r="C67" s="75" t="s">
        <v>54</v>
      </c>
      <c r="D67" s="76">
        <v>5.0231</v>
      </c>
      <c r="E67" s="76">
        <v>5.0237</v>
      </c>
      <c r="F67" s="70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2.75" customHeight="1">
      <c r="A68" s="68"/>
      <c r="B68" s="74">
        <v>45387.0</v>
      </c>
      <c r="C68" s="75" t="s">
        <v>54</v>
      </c>
      <c r="D68" s="76">
        <v>5.0514</v>
      </c>
      <c r="E68" s="76">
        <v>5.052</v>
      </c>
      <c r="F68" s="70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2.75" customHeight="1">
      <c r="A69" s="68"/>
      <c r="B69" s="74">
        <v>45390.0</v>
      </c>
      <c r="C69" s="75" t="s">
        <v>54</v>
      </c>
      <c r="D69" s="76">
        <v>5.0415</v>
      </c>
      <c r="E69" s="76">
        <v>5.0421</v>
      </c>
      <c r="F69" s="70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2.75" customHeight="1">
      <c r="A70" s="68"/>
      <c r="B70" s="74">
        <v>45391.0</v>
      </c>
      <c r="C70" s="75" t="s">
        <v>54</v>
      </c>
      <c r="D70" s="76">
        <v>5.0074</v>
      </c>
      <c r="E70" s="76">
        <v>5.008</v>
      </c>
      <c r="F70" s="70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2.75" customHeight="1">
      <c r="A71" s="68"/>
      <c r="B71" s="74">
        <v>45392.0</v>
      </c>
      <c r="C71" s="75" t="s">
        <v>54</v>
      </c>
      <c r="D71" s="76">
        <v>5.0648</v>
      </c>
      <c r="E71" s="76">
        <v>5.0654</v>
      </c>
      <c r="F71" s="70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2.75" customHeight="1">
      <c r="A72" s="68"/>
      <c r="B72" s="74">
        <v>45393.0</v>
      </c>
      <c r="C72" s="75" t="s">
        <v>54</v>
      </c>
      <c r="D72" s="76">
        <v>5.0759</v>
      </c>
      <c r="E72" s="76">
        <v>5.0765</v>
      </c>
      <c r="F72" s="70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2.75" customHeight="1">
      <c r="A73" s="68"/>
      <c r="B73" s="74">
        <v>45394.0</v>
      </c>
      <c r="C73" s="75" t="s">
        <v>54</v>
      </c>
      <c r="D73" s="76">
        <v>5.1358</v>
      </c>
      <c r="E73" s="76">
        <v>5.1364</v>
      </c>
      <c r="F73" s="70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2.75" customHeight="1">
      <c r="A74" s="68"/>
      <c r="B74" s="74">
        <v>45397.0</v>
      </c>
      <c r="C74" s="75" t="s">
        <v>54</v>
      </c>
      <c r="D74" s="76">
        <v>5.174</v>
      </c>
      <c r="E74" s="76">
        <v>5.1746</v>
      </c>
      <c r="F74" s="70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2.75" customHeight="1">
      <c r="A75" s="68"/>
      <c r="B75" s="74">
        <v>45398.0</v>
      </c>
      <c r="C75" s="75" t="s">
        <v>54</v>
      </c>
      <c r="D75" s="76">
        <v>5.2628</v>
      </c>
      <c r="E75" s="76">
        <v>5.2635</v>
      </c>
      <c r="F75" s="70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2.75" customHeight="1">
      <c r="A76" s="68"/>
      <c r="B76" s="74">
        <v>45399.0</v>
      </c>
      <c r="C76" s="75" t="s">
        <v>54</v>
      </c>
      <c r="D76" s="76">
        <v>5.2463</v>
      </c>
      <c r="E76" s="76">
        <v>5.2469</v>
      </c>
      <c r="F76" s="70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2.75" customHeight="1">
      <c r="A77" s="68"/>
      <c r="B77" s="74">
        <v>45400.0</v>
      </c>
      <c r="C77" s="75" t="s">
        <v>54</v>
      </c>
      <c r="D77" s="76">
        <v>5.2506</v>
      </c>
      <c r="E77" s="76">
        <v>5.2512</v>
      </c>
      <c r="F77" s="70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2.75" customHeight="1">
      <c r="A78" s="68"/>
      <c r="B78" s="74">
        <v>45401.0</v>
      </c>
      <c r="C78" s="75" t="s">
        <v>54</v>
      </c>
      <c r="D78" s="76">
        <v>5.2263</v>
      </c>
      <c r="E78" s="76">
        <v>5.2269</v>
      </c>
      <c r="F78" s="70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2.75" customHeight="1">
      <c r="A79" s="68"/>
      <c r="B79" s="74">
        <v>45404.0</v>
      </c>
      <c r="C79" s="75" t="s">
        <v>54</v>
      </c>
      <c r="D79" s="76">
        <v>5.2037</v>
      </c>
      <c r="E79" s="76">
        <v>5.2043</v>
      </c>
      <c r="F79" s="70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2.75" customHeight="1">
      <c r="A80" s="68"/>
      <c r="B80" s="74">
        <v>45405.0</v>
      </c>
      <c r="C80" s="75" t="s">
        <v>54</v>
      </c>
      <c r="D80" s="76">
        <v>5.162</v>
      </c>
      <c r="E80" s="76">
        <v>5.1626</v>
      </c>
      <c r="F80" s="70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2.75" customHeight="1">
      <c r="A81" s="68"/>
      <c r="B81" s="74">
        <v>45406.0</v>
      </c>
      <c r="C81" s="75" t="s">
        <v>54</v>
      </c>
      <c r="D81" s="76">
        <v>5.1586</v>
      </c>
      <c r="E81" s="76">
        <v>5.1592</v>
      </c>
      <c r="F81" s="70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2.75" customHeight="1">
      <c r="A82" s="68"/>
      <c r="B82" s="74">
        <v>45407.0</v>
      </c>
      <c r="C82" s="75" t="s">
        <v>54</v>
      </c>
      <c r="D82" s="76">
        <v>5.1673</v>
      </c>
      <c r="E82" s="76">
        <v>5.1679</v>
      </c>
      <c r="F82" s="70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2.75" customHeight="1">
      <c r="A83" s="68"/>
      <c r="B83" s="74">
        <v>45408.0</v>
      </c>
      <c r="C83" s="75" t="s">
        <v>54</v>
      </c>
      <c r="D83" s="76">
        <v>5.1178</v>
      </c>
      <c r="E83" s="76">
        <v>5.1184</v>
      </c>
      <c r="F83" s="70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2.75" customHeight="1">
      <c r="A84" s="68"/>
      <c r="B84" s="74">
        <v>45411.0</v>
      </c>
      <c r="C84" s="75" t="s">
        <v>54</v>
      </c>
      <c r="D84" s="76">
        <v>5.1149</v>
      </c>
      <c r="E84" s="76">
        <v>5.1155</v>
      </c>
      <c r="F84" s="70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2.75" customHeight="1">
      <c r="A85" s="68"/>
      <c r="B85" s="74">
        <v>45412.0</v>
      </c>
      <c r="C85" s="75" t="s">
        <v>54</v>
      </c>
      <c r="D85" s="76">
        <v>5.1712</v>
      </c>
      <c r="E85" s="76">
        <v>5.1718</v>
      </c>
      <c r="F85" s="70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2.75" customHeight="1">
      <c r="A86" s="68"/>
      <c r="B86" s="74">
        <v>45414.0</v>
      </c>
      <c r="C86" s="75" t="s">
        <v>54</v>
      </c>
      <c r="D86" s="76">
        <v>5.1178</v>
      </c>
      <c r="E86" s="76">
        <v>5.1184</v>
      </c>
      <c r="F86" s="70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2.75" customHeight="1">
      <c r="A87" s="68"/>
      <c r="B87" s="74">
        <v>45415.0</v>
      </c>
      <c r="C87" s="75" t="s">
        <v>54</v>
      </c>
      <c r="D87" s="76">
        <v>5.0662</v>
      </c>
      <c r="E87" s="76">
        <v>5.0668</v>
      </c>
      <c r="F87" s="70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2.75" customHeight="1">
      <c r="A88" s="68"/>
      <c r="B88" s="74">
        <v>45418.0</v>
      </c>
      <c r="C88" s="75" t="s">
        <v>54</v>
      </c>
      <c r="D88" s="76">
        <v>5.0721</v>
      </c>
      <c r="E88" s="76">
        <v>5.0727</v>
      </c>
      <c r="F88" s="70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2.75" customHeight="1">
      <c r="A89" s="68"/>
      <c r="B89" s="74">
        <v>45419.0</v>
      </c>
      <c r="C89" s="75" t="s">
        <v>54</v>
      </c>
      <c r="D89" s="76">
        <v>5.0604</v>
      </c>
      <c r="E89" s="76">
        <v>5.061</v>
      </c>
      <c r="F89" s="70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2.75" customHeight="1">
      <c r="A90" s="68"/>
      <c r="B90" s="74">
        <v>45420.0</v>
      </c>
      <c r="C90" s="75" t="s">
        <v>54</v>
      </c>
      <c r="D90" s="76">
        <v>5.0881</v>
      </c>
      <c r="E90" s="76">
        <v>5.0887</v>
      </c>
      <c r="F90" s="70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2.75" customHeight="1">
      <c r="A91" s="68"/>
      <c r="B91" s="74">
        <v>45421.0</v>
      </c>
      <c r="C91" s="75" t="s">
        <v>54</v>
      </c>
      <c r="D91" s="76">
        <v>5.1571</v>
      </c>
      <c r="E91" s="76">
        <v>5.1577</v>
      </c>
      <c r="F91" s="70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2.75" customHeight="1">
      <c r="A92" s="68"/>
      <c r="B92" s="74">
        <v>45422.0</v>
      </c>
      <c r="C92" s="75" t="s">
        <v>54</v>
      </c>
      <c r="D92" s="76">
        <v>5.1458</v>
      </c>
      <c r="E92" s="76">
        <v>5.1464</v>
      </c>
      <c r="F92" s="70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2.75" customHeight="1">
      <c r="A93" s="68"/>
      <c r="B93" s="74">
        <v>45425.0</v>
      </c>
      <c r="C93" s="75" t="s">
        <v>54</v>
      </c>
      <c r="D93" s="76">
        <v>5.1406</v>
      </c>
      <c r="E93" s="76">
        <v>5.1412</v>
      </c>
      <c r="F93" s="70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2.75" customHeight="1">
      <c r="A94" s="68"/>
      <c r="B94" s="74">
        <v>45426.0</v>
      </c>
      <c r="C94" s="75" t="s">
        <v>54</v>
      </c>
      <c r="D94" s="76">
        <v>5.135</v>
      </c>
      <c r="E94" s="76">
        <v>5.1356</v>
      </c>
      <c r="F94" s="70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2.75" customHeight="1">
      <c r="A95" s="68"/>
      <c r="B95" s="74">
        <v>45427.0</v>
      </c>
      <c r="C95" s="75" t="s">
        <v>54</v>
      </c>
      <c r="D95" s="76">
        <v>5.1417</v>
      </c>
      <c r="E95" s="76">
        <v>5.1423</v>
      </c>
      <c r="F95" s="70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2.75" customHeight="1">
      <c r="A96" s="68"/>
      <c r="B96" s="74">
        <v>45428.0</v>
      </c>
      <c r="C96" s="75" t="s">
        <v>54</v>
      </c>
      <c r="D96" s="76">
        <v>5.1264</v>
      </c>
      <c r="E96" s="76">
        <v>5.127</v>
      </c>
      <c r="F96" s="70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2.75" customHeight="1">
      <c r="A97" s="68"/>
      <c r="B97" s="74">
        <v>45429.0</v>
      </c>
      <c r="C97" s="75" t="s">
        <v>54</v>
      </c>
      <c r="D97" s="76">
        <v>5.1151</v>
      </c>
      <c r="E97" s="76">
        <v>5.1157</v>
      </c>
      <c r="F97" s="70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2.75" customHeight="1">
      <c r="A98" s="68"/>
      <c r="B98" s="74">
        <v>45432.0</v>
      </c>
      <c r="C98" s="75" t="s">
        <v>54</v>
      </c>
      <c r="D98" s="76">
        <v>5.1079</v>
      </c>
      <c r="E98" s="76">
        <v>5.1085</v>
      </c>
      <c r="F98" s="70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2.75" customHeight="1">
      <c r="A99" s="68"/>
      <c r="B99" s="74">
        <v>45433.0</v>
      </c>
      <c r="C99" s="75" t="s">
        <v>54</v>
      </c>
      <c r="D99" s="76">
        <v>5.1031</v>
      </c>
      <c r="E99" s="76">
        <v>5.1037</v>
      </c>
      <c r="F99" s="70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2.75" customHeight="1">
      <c r="A100" s="68"/>
      <c r="B100" s="74">
        <v>45434.0</v>
      </c>
      <c r="C100" s="75" t="s">
        <v>54</v>
      </c>
      <c r="D100" s="76">
        <v>5.1496</v>
      </c>
      <c r="E100" s="76">
        <v>5.1502</v>
      </c>
      <c r="F100" s="70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 ht="12.75" customHeight="1">
      <c r="A101" s="68"/>
      <c r="B101" s="74">
        <v>45435.0</v>
      </c>
      <c r="C101" s="75" t="s">
        <v>54</v>
      </c>
      <c r="D101" s="76">
        <v>5.1437</v>
      </c>
      <c r="E101" s="76">
        <v>5.1443</v>
      </c>
      <c r="F101" s="70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 ht="12.75" customHeight="1">
      <c r="A102" s="68"/>
      <c r="B102" s="74">
        <v>45436.0</v>
      </c>
      <c r="C102" s="75" t="s">
        <v>54</v>
      </c>
      <c r="D102" s="76">
        <v>5.1502</v>
      </c>
      <c r="E102" s="76">
        <v>5.1508</v>
      </c>
      <c r="F102" s="70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 ht="12.75" customHeight="1">
      <c r="A103" s="68"/>
      <c r="B103" s="74">
        <v>45439.0</v>
      </c>
      <c r="C103" s="75" t="s">
        <v>54</v>
      </c>
      <c r="D103" s="76">
        <v>5.1698</v>
      </c>
      <c r="E103" s="76">
        <v>5.1704</v>
      </c>
      <c r="F103" s="70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 ht="12.75" customHeight="1">
      <c r="A104" s="68"/>
      <c r="B104" s="74">
        <v>45440.0</v>
      </c>
      <c r="C104" s="75" t="s">
        <v>54</v>
      </c>
      <c r="D104" s="76">
        <v>5.1532</v>
      </c>
      <c r="E104" s="76">
        <v>5.1538</v>
      </c>
      <c r="F104" s="70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 ht="12.75" customHeight="1">
      <c r="A105" s="68"/>
      <c r="B105" s="74">
        <v>45441.0</v>
      </c>
      <c r="C105" s="75" t="s">
        <v>54</v>
      </c>
      <c r="D105" s="76">
        <v>5.1966</v>
      </c>
      <c r="E105" s="76">
        <v>5.1972</v>
      </c>
      <c r="F105" s="70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 ht="12.75" customHeight="1">
      <c r="A106" s="68"/>
      <c r="B106" s="74">
        <v>45443.0</v>
      </c>
      <c r="C106" s="75" t="s">
        <v>54</v>
      </c>
      <c r="D106" s="76">
        <v>5.241</v>
      </c>
      <c r="E106" s="76">
        <v>5.2416</v>
      </c>
      <c r="F106" s="70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 ht="12.75" customHeight="1">
      <c r="A107" s="68"/>
      <c r="B107" s="74">
        <v>45446.0</v>
      </c>
      <c r="C107" s="75" t="s">
        <v>54</v>
      </c>
      <c r="D107" s="76">
        <v>5.2367</v>
      </c>
      <c r="E107" s="76">
        <v>5.2373</v>
      </c>
      <c r="F107" s="70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 ht="12.75" customHeight="1">
      <c r="A108" s="68"/>
      <c r="B108" s="74">
        <v>45447.0</v>
      </c>
      <c r="C108" s="75" t="s">
        <v>54</v>
      </c>
      <c r="D108" s="76">
        <v>5.2681</v>
      </c>
      <c r="E108" s="76">
        <v>5.2687</v>
      </c>
      <c r="F108" s="70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 ht="12.75" customHeight="1">
      <c r="A109" s="68"/>
      <c r="B109" s="74">
        <v>45448.0</v>
      </c>
      <c r="C109" s="75" t="s">
        <v>54</v>
      </c>
      <c r="D109" s="76">
        <v>5.2835</v>
      </c>
      <c r="E109" s="76">
        <v>5.2841</v>
      </c>
      <c r="F109" s="70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 ht="12.75" customHeight="1">
      <c r="A110" s="68"/>
      <c r="B110" s="74">
        <v>45449.0</v>
      </c>
      <c r="C110" s="75" t="s">
        <v>54</v>
      </c>
      <c r="D110" s="76">
        <v>5.2675</v>
      </c>
      <c r="E110" s="76">
        <v>5.2681</v>
      </c>
      <c r="F110" s="70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 ht="12.75" customHeight="1">
      <c r="A111" s="68"/>
      <c r="B111" s="74">
        <v>45450.0</v>
      </c>
      <c r="C111" s="75" t="s">
        <v>54</v>
      </c>
      <c r="D111" s="76">
        <v>5.2796</v>
      </c>
      <c r="E111" s="76">
        <v>5.2802</v>
      </c>
      <c r="F111" s="70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 ht="12.75" customHeight="1">
      <c r="A112" s="68"/>
      <c r="B112" s="74">
        <v>45453.0</v>
      </c>
      <c r="C112" s="75" t="s">
        <v>54</v>
      </c>
      <c r="D112" s="76">
        <v>5.366</v>
      </c>
      <c r="E112" s="76">
        <v>5.3666</v>
      </c>
      <c r="F112" s="70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 ht="12.75" customHeight="1">
      <c r="A113" s="68"/>
      <c r="B113" s="74">
        <v>45454.0</v>
      </c>
      <c r="C113" s="75" t="s">
        <v>54</v>
      </c>
      <c r="D113" s="76">
        <v>5.3519</v>
      </c>
      <c r="E113" s="76">
        <v>5.3524</v>
      </c>
      <c r="F113" s="70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 ht="12.75" customHeight="1">
      <c r="A114" s="68"/>
      <c r="B114" s="74">
        <v>45455.0</v>
      </c>
      <c r="C114" s="75" t="s">
        <v>54</v>
      </c>
      <c r="D114" s="76">
        <v>5.3885</v>
      </c>
      <c r="E114" s="76">
        <v>5.3891</v>
      </c>
      <c r="F114" s="70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 ht="12.75" customHeight="1">
      <c r="A115" s="68"/>
      <c r="B115" s="74">
        <v>45456.0</v>
      </c>
      <c r="C115" s="75" t="s">
        <v>54</v>
      </c>
      <c r="D115" s="76">
        <v>5.3968</v>
      </c>
      <c r="E115" s="76">
        <v>5.3974</v>
      </c>
      <c r="F115" s="70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 ht="12.75" customHeight="1">
      <c r="A116" s="68"/>
      <c r="B116" s="74">
        <v>45457.0</v>
      </c>
      <c r="C116" s="75" t="s">
        <v>54</v>
      </c>
      <c r="D116" s="76">
        <v>5.3624</v>
      </c>
      <c r="E116" s="76">
        <v>5.363</v>
      </c>
      <c r="F116" s="70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 ht="12.75" customHeight="1">
      <c r="A117" s="68"/>
      <c r="B117" s="74">
        <v>45460.0</v>
      </c>
      <c r="C117" s="75" t="s">
        <v>54</v>
      </c>
      <c r="D117" s="76">
        <v>5.4124</v>
      </c>
      <c r="E117" s="76">
        <v>5.413</v>
      </c>
      <c r="F117" s="70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 ht="12.75" customHeight="1">
      <c r="A118" s="68"/>
      <c r="B118" s="74">
        <v>45461.0</v>
      </c>
      <c r="C118" s="75" t="s">
        <v>54</v>
      </c>
      <c r="D118" s="76">
        <v>5.4068</v>
      </c>
      <c r="E118" s="76">
        <v>5.4074</v>
      </c>
      <c r="F118" s="70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 ht="12.75" customHeight="1">
      <c r="A119" s="68"/>
      <c r="B119" s="74">
        <v>45462.0</v>
      </c>
      <c r="C119" s="75" t="s">
        <v>54</v>
      </c>
      <c r="D119" s="76">
        <v>5.4641</v>
      </c>
      <c r="E119" s="76">
        <v>5.4647</v>
      </c>
      <c r="F119" s="70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 ht="12.75" customHeight="1">
      <c r="A120" s="68"/>
      <c r="B120" s="74">
        <v>45463.0</v>
      </c>
      <c r="C120" s="75" t="s">
        <v>54</v>
      </c>
      <c r="D120" s="76">
        <v>5.4248</v>
      </c>
      <c r="E120" s="76">
        <v>5.4254</v>
      </c>
      <c r="F120" s="70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 ht="12.75" customHeight="1">
      <c r="A121" s="68"/>
      <c r="B121" s="74">
        <v>45464.0</v>
      </c>
      <c r="C121" s="75" t="s">
        <v>54</v>
      </c>
      <c r="D121" s="76">
        <v>5.441</v>
      </c>
      <c r="E121" s="76">
        <v>5.4416</v>
      </c>
      <c r="F121" s="70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 ht="12.75" customHeight="1">
      <c r="A122" s="68"/>
      <c r="B122" s="74">
        <v>45467.0</v>
      </c>
      <c r="C122" s="75" t="s">
        <v>54</v>
      </c>
      <c r="D122" s="76">
        <v>5.3994</v>
      </c>
      <c r="E122" s="76">
        <v>5.4</v>
      </c>
      <c r="F122" s="70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 ht="12.75" customHeight="1">
      <c r="A123" s="68"/>
      <c r="B123" s="74">
        <v>45468.0</v>
      </c>
      <c r="C123" s="75" t="s">
        <v>54</v>
      </c>
      <c r="D123" s="76">
        <v>5.4283</v>
      </c>
      <c r="E123" s="76">
        <v>5.429</v>
      </c>
      <c r="F123" s="70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 ht="12.75" customHeight="1">
      <c r="A124" s="68"/>
      <c r="B124" s="74">
        <v>45469.0</v>
      </c>
      <c r="C124" s="75" t="s">
        <v>54</v>
      </c>
      <c r="D124" s="76">
        <v>5.5091</v>
      </c>
      <c r="E124" s="76">
        <v>5.5097</v>
      </c>
      <c r="F124" s="70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 ht="12.75" customHeight="1">
      <c r="A125" s="68"/>
      <c r="B125" s="74">
        <v>45470.0</v>
      </c>
      <c r="C125" s="75" t="s">
        <v>54</v>
      </c>
      <c r="D125" s="76">
        <v>5.5223</v>
      </c>
      <c r="E125" s="76">
        <v>5.5229</v>
      </c>
      <c r="F125" s="70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 ht="12.75" customHeight="1">
      <c r="A126" s="68"/>
      <c r="B126" s="74">
        <v>45471.0</v>
      </c>
      <c r="C126" s="75" t="s">
        <v>54</v>
      </c>
      <c r="D126" s="76">
        <v>5.5583</v>
      </c>
      <c r="E126" s="76">
        <v>5.5589</v>
      </c>
      <c r="F126" s="70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 ht="12.75" customHeight="1">
      <c r="A127" s="68"/>
      <c r="B127" s="74">
        <v>45474.0</v>
      </c>
      <c r="C127" s="75" t="s">
        <v>54</v>
      </c>
      <c r="D127" s="76">
        <v>5.5887</v>
      </c>
      <c r="E127" s="76">
        <v>5.5893</v>
      </c>
      <c r="F127" s="70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 ht="12.75" customHeight="1">
      <c r="A128" s="68"/>
      <c r="B128" s="74">
        <v>45475.0</v>
      </c>
      <c r="C128" s="75" t="s">
        <v>54</v>
      </c>
      <c r="D128" s="76">
        <v>5.6671</v>
      </c>
      <c r="E128" s="76">
        <v>5.6677</v>
      </c>
      <c r="F128" s="70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 ht="12.75" customHeight="1">
      <c r="A129" s="68"/>
      <c r="B129" s="74">
        <v>45476.0</v>
      </c>
      <c r="C129" s="75" t="s">
        <v>54</v>
      </c>
      <c r="D129" s="76">
        <v>5.5857</v>
      </c>
      <c r="E129" s="76">
        <v>5.5863</v>
      </c>
      <c r="F129" s="70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 ht="12.75" customHeight="1">
      <c r="A130" s="68"/>
      <c r="B130" s="74">
        <v>45477.0</v>
      </c>
      <c r="C130" s="75" t="s">
        <v>54</v>
      </c>
      <c r="D130" s="76">
        <v>5.4833</v>
      </c>
      <c r="E130" s="76">
        <v>5.4839</v>
      </c>
      <c r="F130" s="70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 ht="12.75" customHeight="1">
      <c r="A131" s="68"/>
      <c r="B131" s="74">
        <v>45478.0</v>
      </c>
      <c r="C131" s="75" t="s">
        <v>54</v>
      </c>
      <c r="D131" s="76">
        <v>5.4964</v>
      </c>
      <c r="E131" s="76">
        <v>5.497</v>
      </c>
      <c r="F131" s="70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 ht="12.75" customHeight="1">
      <c r="A132" s="68"/>
      <c r="B132" s="74">
        <v>45481.0</v>
      </c>
      <c r="C132" s="75" t="s">
        <v>54</v>
      </c>
      <c r="D132" s="76">
        <v>5.4714</v>
      </c>
      <c r="E132" s="76">
        <v>5.472</v>
      </c>
      <c r="F132" s="70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 ht="12.75" customHeight="1">
      <c r="A133" s="68"/>
      <c r="B133" s="74">
        <v>45482.0</v>
      </c>
      <c r="C133" s="75" t="s">
        <v>54</v>
      </c>
      <c r="D133" s="76">
        <v>5.4381</v>
      </c>
      <c r="E133" s="76">
        <v>5.4387</v>
      </c>
      <c r="F133" s="70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 ht="12.75" customHeight="1">
      <c r="A134" s="68"/>
      <c r="B134" s="74">
        <v>45483.0</v>
      </c>
      <c r="C134" s="75" t="s">
        <v>54</v>
      </c>
      <c r="D134" s="76">
        <v>5.3961</v>
      </c>
      <c r="E134" s="76">
        <v>5.3967</v>
      </c>
      <c r="F134" s="70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 ht="12.75" customHeight="1">
      <c r="A135" s="68"/>
      <c r="B135" s="74">
        <v>45484.0</v>
      </c>
      <c r="C135" s="75" t="s">
        <v>54</v>
      </c>
      <c r="D135" s="76">
        <v>5.4094</v>
      </c>
      <c r="E135" s="76">
        <v>5.41</v>
      </c>
      <c r="F135" s="70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 ht="12.75" customHeight="1">
      <c r="A136" s="68"/>
      <c r="B136" s="74">
        <v>45485.0</v>
      </c>
      <c r="C136" s="75" t="s">
        <v>54</v>
      </c>
      <c r="D136" s="76">
        <v>5.4523</v>
      </c>
      <c r="E136" s="76">
        <v>5.4529</v>
      </c>
      <c r="F136" s="70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 ht="12.75" customHeight="1">
      <c r="A137" s="68"/>
      <c r="B137" s="74">
        <v>45488.0</v>
      </c>
      <c r="C137" s="75" t="s">
        <v>54</v>
      </c>
      <c r="D137" s="76">
        <v>5.4557</v>
      </c>
      <c r="E137" s="76">
        <v>5.4563</v>
      </c>
      <c r="F137" s="70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 ht="12.75" customHeight="1">
      <c r="A138" s="68"/>
      <c r="B138" s="74">
        <v>45489.0</v>
      </c>
      <c r="C138" s="75" t="s">
        <v>54</v>
      </c>
      <c r="D138" s="76">
        <v>5.4268</v>
      </c>
      <c r="E138" s="76">
        <v>5.4274</v>
      </c>
      <c r="F138" s="70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 ht="12.75" customHeight="1">
      <c r="A139" s="68"/>
      <c r="B139" s="74">
        <v>45490.0</v>
      </c>
      <c r="C139" s="75" t="s">
        <v>54</v>
      </c>
      <c r="D139" s="76">
        <v>5.4664</v>
      </c>
      <c r="E139" s="76">
        <v>5.467</v>
      </c>
      <c r="F139" s="70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 ht="12.75" customHeight="1">
      <c r="A140" s="68"/>
      <c r="B140" s="74">
        <v>45491.0</v>
      </c>
      <c r="C140" s="75" t="s">
        <v>54</v>
      </c>
      <c r="D140" s="76">
        <v>5.542</v>
      </c>
      <c r="E140" s="76">
        <v>5.5426</v>
      </c>
      <c r="F140" s="70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 ht="12.75" customHeight="1">
      <c r="A141" s="68"/>
      <c r="B141" s="74">
        <v>45492.0</v>
      </c>
      <c r="C141" s="75" t="s">
        <v>54</v>
      </c>
      <c r="D141" s="76">
        <v>5.5537</v>
      </c>
      <c r="E141" s="76">
        <v>5.5543</v>
      </c>
      <c r="F141" s="70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 ht="12.75" customHeight="1">
      <c r="A142" s="68"/>
      <c r="B142" s="74">
        <v>45495.0</v>
      </c>
      <c r="C142" s="75" t="s">
        <v>54</v>
      </c>
      <c r="D142" s="76">
        <v>5.5592</v>
      </c>
      <c r="E142" s="76">
        <v>5.5598</v>
      </c>
      <c r="F142" s="70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 ht="12.75" customHeight="1">
      <c r="A143" s="68"/>
      <c r="B143" s="74">
        <v>45496.0</v>
      </c>
      <c r="C143" s="75" t="s">
        <v>54</v>
      </c>
      <c r="D143" s="76">
        <v>5.5801</v>
      </c>
      <c r="E143" s="76">
        <v>5.5807</v>
      </c>
      <c r="F143" s="70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 ht="12.75" customHeight="1">
      <c r="A144" s="68"/>
      <c r="B144" s="74">
        <v>45497.0</v>
      </c>
      <c r="C144" s="75" t="s">
        <v>54</v>
      </c>
      <c r="D144" s="76">
        <v>5.634</v>
      </c>
      <c r="E144" s="76">
        <v>5.6346</v>
      </c>
      <c r="F144" s="70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 ht="12.75" customHeight="1">
      <c r="A145" s="68"/>
      <c r="B145" s="74">
        <v>45498.0</v>
      </c>
      <c r="C145" s="75" t="s">
        <v>54</v>
      </c>
      <c r="D145" s="76">
        <v>5.6396</v>
      </c>
      <c r="E145" s="76">
        <v>5.6402</v>
      </c>
      <c r="F145" s="70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 ht="12.75" customHeight="1">
      <c r="A146" s="68"/>
      <c r="B146" s="74">
        <v>45499.0</v>
      </c>
      <c r="C146" s="75" t="s">
        <v>54</v>
      </c>
      <c r="D146" s="76">
        <v>5.6459</v>
      </c>
      <c r="E146" s="76">
        <v>5.6465</v>
      </c>
      <c r="F146" s="70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 ht="12.75" customHeight="1">
      <c r="A147" s="68"/>
      <c r="B147" s="74">
        <v>45502.0</v>
      </c>
      <c r="C147" s="75" t="s">
        <v>54</v>
      </c>
      <c r="D147" s="76">
        <v>5.6473</v>
      </c>
      <c r="E147" s="76">
        <v>5.6479</v>
      </c>
      <c r="F147" s="70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 ht="12.75" customHeight="1">
      <c r="A148" s="68"/>
      <c r="B148" s="74">
        <v>45503.0</v>
      </c>
      <c r="C148" s="75" t="s">
        <v>54</v>
      </c>
      <c r="D148" s="76">
        <v>5.6526</v>
      </c>
      <c r="E148" s="76">
        <v>5.6532</v>
      </c>
      <c r="F148" s="70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 ht="12.75" customHeight="1">
      <c r="A149" s="68"/>
      <c r="B149" s="74">
        <v>45504.0</v>
      </c>
      <c r="C149" s="75" t="s">
        <v>54</v>
      </c>
      <c r="D149" s="76">
        <v>5.6615</v>
      </c>
      <c r="E149" s="76">
        <v>5.6621</v>
      </c>
      <c r="F149" s="70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 ht="12.75" customHeight="1">
      <c r="A150" s="68"/>
      <c r="B150" s="74">
        <v>45505.0</v>
      </c>
      <c r="C150" s="75" t="s">
        <v>54</v>
      </c>
      <c r="D150" s="76">
        <v>5.6675</v>
      </c>
      <c r="E150" s="76">
        <v>5.6681</v>
      </c>
      <c r="F150" s="70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 ht="12.75" customHeight="1">
      <c r="A151" s="68"/>
      <c r="B151" s="74">
        <v>45506.0</v>
      </c>
      <c r="C151" s="75" t="s">
        <v>54</v>
      </c>
      <c r="D151" s="76">
        <v>5.736</v>
      </c>
      <c r="E151" s="76">
        <v>5.7366</v>
      </c>
      <c r="F151" s="70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 ht="12.75" customHeight="1">
      <c r="A152" s="68"/>
      <c r="B152" s="74">
        <v>45509.0</v>
      </c>
      <c r="C152" s="75" t="s">
        <v>54</v>
      </c>
      <c r="D152" s="76">
        <v>5.764</v>
      </c>
      <c r="E152" s="76">
        <v>5.7646</v>
      </c>
      <c r="F152" s="70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 ht="12.75" customHeight="1">
      <c r="A153" s="68"/>
      <c r="B153" s="74">
        <v>45510.0</v>
      </c>
      <c r="C153" s="75" t="s">
        <v>54</v>
      </c>
      <c r="D153" s="76">
        <v>5.6522</v>
      </c>
      <c r="E153" s="76">
        <v>5.6528</v>
      </c>
      <c r="F153" s="70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 ht="12.75" customHeight="1">
      <c r="A154" s="68"/>
      <c r="B154" s="74">
        <v>45511.0</v>
      </c>
      <c r="C154" s="75" t="s">
        <v>54</v>
      </c>
      <c r="D154" s="76">
        <v>5.6087</v>
      </c>
      <c r="E154" s="76">
        <v>5.6093</v>
      </c>
      <c r="F154" s="70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 ht="12.75" customHeight="1">
      <c r="A155" s="68"/>
      <c r="B155" s="74">
        <v>45512.0</v>
      </c>
      <c r="C155" s="75" t="s">
        <v>54</v>
      </c>
      <c r="D155" s="76">
        <v>5.6166</v>
      </c>
      <c r="E155" s="76">
        <v>5.6172</v>
      </c>
      <c r="F155" s="70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 ht="12.75" customHeight="1">
      <c r="A156" s="68"/>
      <c r="B156" s="74">
        <v>45513.0</v>
      </c>
      <c r="C156" s="75" t="s">
        <v>54</v>
      </c>
      <c r="D156" s="76">
        <v>5.5109</v>
      </c>
      <c r="E156" s="76">
        <v>5.5115</v>
      </c>
      <c r="F156" s="70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 ht="12.75" customHeight="1">
      <c r="A157" s="68"/>
      <c r="B157" s="74">
        <v>45516.0</v>
      </c>
      <c r="C157" s="75" t="s">
        <v>54</v>
      </c>
      <c r="D157" s="76">
        <v>5.4905</v>
      </c>
      <c r="E157" s="76">
        <v>5.4911</v>
      </c>
      <c r="F157" s="70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 ht="12.75" customHeight="1">
      <c r="A158" s="68"/>
      <c r="B158" s="74">
        <v>45517.0</v>
      </c>
      <c r="C158" s="75" t="s">
        <v>54</v>
      </c>
      <c r="D158" s="76">
        <v>5.4869</v>
      </c>
      <c r="E158" s="76">
        <v>5.4875</v>
      </c>
      <c r="F158" s="70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 ht="12.75" customHeight="1">
      <c r="A159" s="68"/>
      <c r="B159" s="74">
        <v>45518.0</v>
      </c>
      <c r="C159" s="75" t="s">
        <v>54</v>
      </c>
      <c r="D159" s="76">
        <v>5.4496</v>
      </c>
      <c r="E159" s="76">
        <v>5.4502</v>
      </c>
      <c r="F159" s="70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 ht="12.75" customHeight="1">
      <c r="A160" s="68"/>
      <c r="B160" s="74">
        <v>45519.0</v>
      </c>
      <c r="C160" s="75" t="s">
        <v>54</v>
      </c>
      <c r="D160" s="76">
        <v>5.4645</v>
      </c>
      <c r="E160" s="76">
        <v>5.4651</v>
      </c>
      <c r="F160" s="70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 ht="12.75" customHeight="1">
      <c r="A161" s="68"/>
      <c r="B161" s="74">
        <v>45520.0</v>
      </c>
      <c r="C161" s="75" t="s">
        <v>54</v>
      </c>
      <c r="D161" s="76">
        <v>5.4626</v>
      </c>
      <c r="E161" s="76">
        <v>5.4632</v>
      </c>
      <c r="F161" s="70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 ht="12.75" customHeight="1">
      <c r="A162" s="68"/>
      <c r="B162" s="74">
        <v>45523.0</v>
      </c>
      <c r="C162" s="75" t="s">
        <v>54</v>
      </c>
      <c r="D162" s="76">
        <v>5.4231</v>
      </c>
      <c r="E162" s="76">
        <v>5.4237</v>
      </c>
      <c r="F162" s="70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 ht="12.75" customHeight="1">
      <c r="A163" s="68"/>
      <c r="B163" s="74">
        <v>45524.0</v>
      </c>
      <c r="C163" s="75" t="s">
        <v>54</v>
      </c>
      <c r="D163" s="76">
        <v>5.4541</v>
      </c>
      <c r="E163" s="76">
        <v>5.4547</v>
      </c>
      <c r="F163" s="70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 ht="12.75" customHeight="1">
      <c r="A164" s="68"/>
      <c r="B164" s="74">
        <v>45525.0</v>
      </c>
      <c r="C164" s="75" t="s">
        <v>54</v>
      </c>
      <c r="D164" s="76">
        <v>5.4701</v>
      </c>
      <c r="E164" s="76">
        <v>5.4707</v>
      </c>
      <c r="F164" s="70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 ht="12.75" customHeight="1">
      <c r="A165" s="68"/>
      <c r="B165" s="74">
        <v>45526.0</v>
      </c>
      <c r="C165" s="75" t="s">
        <v>54</v>
      </c>
      <c r="D165" s="76">
        <v>5.5518</v>
      </c>
      <c r="E165" s="76">
        <v>5.5524</v>
      </c>
      <c r="F165" s="70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 ht="12.75" customHeight="1">
      <c r="A166" s="68"/>
      <c r="B166" s="74">
        <v>45527.0</v>
      </c>
      <c r="C166" s="75" t="s">
        <v>54</v>
      </c>
      <c r="D166" s="76">
        <v>5.5257</v>
      </c>
      <c r="E166" s="76">
        <v>5.5263</v>
      </c>
      <c r="F166" s="70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 ht="12.75" customHeight="1">
      <c r="A167" s="68"/>
      <c r="B167" s="74">
        <v>45530.0</v>
      </c>
      <c r="C167" s="75" t="s">
        <v>54</v>
      </c>
      <c r="D167" s="76">
        <v>5.4915</v>
      </c>
      <c r="E167" s="76">
        <v>5.4921</v>
      </c>
      <c r="F167" s="70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 ht="12.75" customHeight="1">
      <c r="A168" s="68"/>
      <c r="B168" s="74">
        <v>45531.0</v>
      </c>
      <c r="C168" s="75" t="s">
        <v>54</v>
      </c>
      <c r="D168" s="76">
        <v>5.4963</v>
      </c>
      <c r="E168" s="76">
        <v>5.4969</v>
      </c>
      <c r="F168" s="70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 ht="12.75" customHeight="1">
      <c r="A169" s="68"/>
      <c r="B169" s="74">
        <v>45532.0</v>
      </c>
      <c r="C169" s="75" t="s">
        <v>54</v>
      </c>
      <c r="D169" s="76">
        <v>5.5309</v>
      </c>
      <c r="E169" s="76">
        <v>5.5315</v>
      </c>
      <c r="F169" s="70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 ht="12.75" customHeight="1">
      <c r="A170" s="68"/>
      <c r="B170" s="74">
        <v>45533.0</v>
      </c>
      <c r="C170" s="75" t="s">
        <v>54</v>
      </c>
      <c r="D170" s="76">
        <v>5.6352</v>
      </c>
      <c r="E170" s="76">
        <v>5.6358</v>
      </c>
      <c r="F170" s="70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 ht="12.75" customHeight="1">
      <c r="A171" s="68"/>
      <c r="B171" s="74">
        <v>45534.0</v>
      </c>
      <c r="C171" s="75" t="s">
        <v>54</v>
      </c>
      <c r="D171" s="76">
        <v>5.6556</v>
      </c>
      <c r="E171" s="76">
        <v>5.6562</v>
      </c>
      <c r="F171" s="70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 ht="12.75" customHeight="1">
      <c r="A172" s="68"/>
      <c r="B172" s="74">
        <v>45537.0</v>
      </c>
      <c r="C172" s="75" t="s">
        <v>54</v>
      </c>
      <c r="D172" s="76">
        <v>5.6224</v>
      </c>
      <c r="E172" s="76">
        <v>5.623</v>
      </c>
      <c r="F172" s="70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 ht="12.75" customHeight="1">
      <c r="A173" s="68"/>
      <c r="B173" s="74">
        <v>45538.0</v>
      </c>
      <c r="C173" s="75" t="s">
        <v>54</v>
      </c>
      <c r="D173" s="76">
        <v>5.6218</v>
      </c>
      <c r="E173" s="76">
        <v>5.6224</v>
      </c>
      <c r="F173" s="70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 ht="12.75" customHeight="1">
      <c r="A174" s="68"/>
      <c r="B174" s="74">
        <v>45539.0</v>
      </c>
      <c r="C174" s="75" t="s">
        <v>54</v>
      </c>
      <c r="D174" s="76">
        <v>5.6353</v>
      </c>
      <c r="E174" s="76">
        <v>5.6359</v>
      </c>
      <c r="F174" s="70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 ht="12.75" customHeight="1">
      <c r="A175" s="68"/>
      <c r="B175" s="74">
        <v>45540.0</v>
      </c>
      <c r="C175" s="75" t="s">
        <v>54</v>
      </c>
      <c r="D175" s="76">
        <v>5.6043</v>
      </c>
      <c r="E175" s="76">
        <v>5.6049</v>
      </c>
      <c r="F175" s="70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 ht="12.75" customHeight="1">
      <c r="A176" s="68"/>
      <c r="B176" s="74">
        <v>45541.0</v>
      </c>
      <c r="C176" s="75" t="s">
        <v>54</v>
      </c>
      <c r="D176" s="76">
        <v>5.5696</v>
      </c>
      <c r="E176" s="76">
        <v>5.5702</v>
      </c>
      <c r="F176" s="70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 ht="12.75" customHeight="1">
      <c r="A177" s="68"/>
      <c r="B177" s="74">
        <v>45544.0</v>
      </c>
      <c r="C177" s="75" t="s">
        <v>54</v>
      </c>
      <c r="D177" s="76">
        <v>5.6091</v>
      </c>
      <c r="E177" s="76">
        <v>5.6097</v>
      </c>
      <c r="F177" s="70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 ht="12.75" customHeight="1">
      <c r="A178" s="68"/>
      <c r="B178" s="74">
        <v>45545.0</v>
      </c>
      <c r="C178" s="75" t="s">
        <v>54</v>
      </c>
      <c r="D178" s="76">
        <v>5.6248</v>
      </c>
      <c r="E178" s="76">
        <v>5.6254</v>
      </c>
      <c r="F178" s="70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 ht="12.75" customHeight="1">
      <c r="A179" s="68"/>
      <c r="B179" s="74">
        <v>45546.0</v>
      </c>
      <c r="C179" s="75" t="s">
        <v>54</v>
      </c>
      <c r="D179" s="76">
        <v>5.6381</v>
      </c>
      <c r="E179" s="76">
        <v>5.6387</v>
      </c>
      <c r="F179" s="70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 ht="12.75" customHeight="1">
      <c r="A180" s="68"/>
      <c r="B180" s="74">
        <v>45547.0</v>
      </c>
      <c r="C180" s="75" t="s">
        <v>54</v>
      </c>
      <c r="D180" s="76">
        <v>5.6548</v>
      </c>
      <c r="E180" s="76">
        <v>5.6554</v>
      </c>
      <c r="F180" s="70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 ht="12.75" customHeight="1">
      <c r="A181" s="68"/>
      <c r="B181" s="74">
        <v>45548.0</v>
      </c>
      <c r="C181" s="75" t="s">
        <v>54</v>
      </c>
      <c r="D181" s="76">
        <v>5.5711</v>
      </c>
      <c r="E181" s="76">
        <v>5.5717</v>
      </c>
      <c r="F181" s="70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 ht="12.75" customHeight="1">
      <c r="A182" s="68"/>
      <c r="B182" s="74">
        <v>45551.0</v>
      </c>
      <c r="C182" s="75" t="s">
        <v>54</v>
      </c>
      <c r="D182" s="76">
        <v>5.5201</v>
      </c>
      <c r="E182" s="76">
        <v>5.5207</v>
      </c>
      <c r="F182" s="70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 ht="12.75" customHeight="1">
      <c r="A183" s="68"/>
      <c r="B183" s="74">
        <v>45552.0</v>
      </c>
      <c r="C183" s="75" t="s">
        <v>54</v>
      </c>
      <c r="D183" s="76">
        <v>5.5004</v>
      </c>
      <c r="E183" s="76">
        <v>5.501</v>
      </c>
      <c r="F183" s="70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 ht="12.75" customHeight="1">
      <c r="A184" s="68"/>
      <c r="B184" s="74">
        <v>45553.0</v>
      </c>
      <c r="C184" s="75" t="s">
        <v>54</v>
      </c>
      <c r="D184" s="76">
        <v>5.4761</v>
      </c>
      <c r="E184" s="76">
        <v>5.4767</v>
      </c>
      <c r="F184" s="70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 ht="12.75" customHeight="1">
      <c r="A185" s="68"/>
      <c r="B185" s="74">
        <v>45554.0</v>
      </c>
      <c r="C185" s="75" t="s">
        <v>54</v>
      </c>
      <c r="D185" s="76">
        <v>5.4183</v>
      </c>
      <c r="E185" s="76">
        <v>5.4189</v>
      </c>
      <c r="F185" s="70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 ht="12.75" customHeight="1">
      <c r="A186" s="68"/>
      <c r="B186" s="74">
        <v>45555.0</v>
      </c>
      <c r="C186" s="75" t="s">
        <v>54</v>
      </c>
      <c r="D186" s="76">
        <v>5.4769</v>
      </c>
      <c r="E186" s="76">
        <v>5.4775</v>
      </c>
      <c r="F186" s="70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 ht="12.75" customHeight="1">
      <c r="A187" s="68"/>
      <c r="B187" s="74">
        <v>45558.0</v>
      </c>
      <c r="C187" s="75" t="s">
        <v>54</v>
      </c>
      <c r="D187" s="76">
        <v>5.544</v>
      </c>
      <c r="E187" s="76">
        <v>5.5446</v>
      </c>
      <c r="F187" s="70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 ht="12.75" customHeight="1">
      <c r="A188" s="68"/>
      <c r="B188" s="74">
        <v>45559.0</v>
      </c>
      <c r="C188" s="75" t="s">
        <v>54</v>
      </c>
      <c r="D188" s="76">
        <v>5.4696</v>
      </c>
      <c r="E188" s="76">
        <v>5.4702</v>
      </c>
      <c r="F188" s="70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 ht="12.75" customHeight="1">
      <c r="A189" s="68"/>
      <c r="B189" s="74">
        <v>45560.0</v>
      </c>
      <c r="C189" s="75" t="s">
        <v>54</v>
      </c>
      <c r="D189" s="76">
        <v>5.473</v>
      </c>
      <c r="E189" s="76">
        <v>5.4736</v>
      </c>
      <c r="F189" s="70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 ht="12.75" customHeight="1">
      <c r="A190" s="68"/>
      <c r="B190" s="74">
        <v>45561.0</v>
      </c>
      <c r="C190" s="75" t="s">
        <v>54</v>
      </c>
      <c r="D190" s="76">
        <v>5.4406</v>
      </c>
      <c r="E190" s="76">
        <v>5.4412</v>
      </c>
      <c r="F190" s="70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 ht="12.75" customHeight="1">
      <c r="A191" s="68"/>
      <c r="B191" s="74">
        <v>45562.0</v>
      </c>
      <c r="C191" s="75" t="s">
        <v>54</v>
      </c>
      <c r="D191" s="76">
        <v>5.4425</v>
      </c>
      <c r="E191" s="76">
        <v>5.4431</v>
      </c>
      <c r="F191" s="70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 ht="12.75" customHeight="1">
      <c r="A192" s="68"/>
      <c r="B192" s="74">
        <v>45565.0</v>
      </c>
      <c r="C192" s="75" t="s">
        <v>54</v>
      </c>
      <c r="D192" s="76">
        <v>5.4475</v>
      </c>
      <c r="E192" s="76">
        <v>5.4481</v>
      </c>
      <c r="F192" s="70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 ht="12.75" customHeight="1">
      <c r="A193" s="68"/>
      <c r="B193" s="74">
        <v>45566.0</v>
      </c>
      <c r="C193" s="75" t="s">
        <v>54</v>
      </c>
      <c r="D193" s="76">
        <v>5.4515</v>
      </c>
      <c r="E193" s="76">
        <v>5.4521</v>
      </c>
      <c r="F193" s="70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 ht="12.75" customHeight="1">
      <c r="A194" s="68"/>
      <c r="B194" s="74">
        <v>45567.0</v>
      </c>
      <c r="C194" s="75" t="s">
        <v>54</v>
      </c>
      <c r="D194" s="76">
        <v>5.4299</v>
      </c>
      <c r="E194" s="76">
        <v>5.4305</v>
      </c>
      <c r="F194" s="70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 ht="12.75" customHeight="1">
      <c r="A195" s="68"/>
      <c r="B195" s="74">
        <v>45568.0</v>
      </c>
      <c r="C195" s="75" t="s">
        <v>54</v>
      </c>
      <c r="D195" s="76">
        <v>5.4844</v>
      </c>
      <c r="E195" s="76">
        <v>5.485</v>
      </c>
      <c r="F195" s="70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 ht="12.75" customHeight="1">
      <c r="A196" s="68"/>
      <c r="B196" s="74">
        <v>45569.0</v>
      </c>
      <c r="C196" s="75" t="s">
        <v>54</v>
      </c>
      <c r="D196" s="76">
        <v>5.468</v>
      </c>
      <c r="E196" s="76">
        <v>5.4686</v>
      </c>
      <c r="F196" s="70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 ht="12.75" customHeight="1">
      <c r="A197" s="68"/>
      <c r="B197" s="74">
        <v>45572.0</v>
      </c>
      <c r="C197" s="75" t="s">
        <v>54</v>
      </c>
      <c r="D197" s="76">
        <v>5.462</v>
      </c>
      <c r="E197" s="76">
        <v>5.4626</v>
      </c>
      <c r="F197" s="70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 ht="12.75" customHeight="1">
      <c r="A198" s="68"/>
      <c r="B198" s="74">
        <v>45573.0</v>
      </c>
      <c r="C198" s="75" t="s">
        <v>54</v>
      </c>
      <c r="D198" s="76">
        <v>5.5191</v>
      </c>
      <c r="E198" s="76">
        <v>5.5197</v>
      </c>
      <c r="F198" s="70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 ht="12.75" customHeight="1">
      <c r="A199" s="68"/>
      <c r="B199" s="74">
        <v>45574.0</v>
      </c>
      <c r="C199" s="75" t="s">
        <v>54</v>
      </c>
      <c r="D199" s="76">
        <v>5.5731</v>
      </c>
      <c r="E199" s="76">
        <v>5.5737</v>
      </c>
      <c r="F199" s="70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 ht="12.75" customHeight="1">
      <c r="A200" s="68"/>
      <c r="B200" s="74">
        <v>45575.0</v>
      </c>
      <c r="C200" s="75" t="s">
        <v>54</v>
      </c>
      <c r="D200" s="76">
        <v>5.5813</v>
      </c>
      <c r="E200" s="76">
        <v>5.5819</v>
      </c>
      <c r="F200" s="70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 ht="12.75" customHeight="1">
      <c r="A201" s="68"/>
      <c r="B201" s="74">
        <v>45576.0</v>
      </c>
      <c r="C201" s="75" t="s">
        <v>54</v>
      </c>
      <c r="D201" s="76">
        <v>5.6257</v>
      </c>
      <c r="E201" s="76">
        <v>5.6263</v>
      </c>
      <c r="F201" s="70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 ht="12.75" customHeight="1">
      <c r="A202" s="68"/>
      <c r="B202" s="74">
        <v>45579.0</v>
      </c>
      <c r="C202" s="75" t="s">
        <v>54</v>
      </c>
      <c r="D202" s="76">
        <v>5.6039</v>
      </c>
      <c r="E202" s="76">
        <v>5.6045</v>
      </c>
      <c r="F202" s="70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 ht="12.75" customHeight="1">
      <c r="A203" s="68"/>
      <c r="B203" s="74">
        <v>45580.0</v>
      </c>
      <c r="C203" s="75" t="s">
        <v>54</v>
      </c>
      <c r="D203" s="76">
        <v>5.6372</v>
      </c>
      <c r="E203" s="76">
        <v>5.6378</v>
      </c>
      <c r="F203" s="70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 ht="12.75" customHeight="1">
      <c r="A204" s="68"/>
      <c r="B204" s="74">
        <v>45581.0</v>
      </c>
      <c r="C204" s="75" t="s">
        <v>54</v>
      </c>
      <c r="D204" s="76">
        <v>5.6743</v>
      </c>
      <c r="E204" s="76">
        <v>5.6749</v>
      </c>
      <c r="F204" s="70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 ht="12.75" customHeight="1">
      <c r="A205" s="68"/>
      <c r="B205" s="74">
        <v>45582.0</v>
      </c>
      <c r="C205" s="75" t="s">
        <v>54</v>
      </c>
      <c r="D205" s="76">
        <v>5.6752</v>
      </c>
      <c r="E205" s="76">
        <v>5.6758</v>
      </c>
      <c r="F205" s="70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 ht="12.75" customHeight="1">
      <c r="A206" s="68"/>
      <c r="B206" s="74">
        <v>45583.0</v>
      </c>
      <c r="C206" s="75" t="s">
        <v>54</v>
      </c>
      <c r="D206" s="76">
        <v>5.6666</v>
      </c>
      <c r="E206" s="76">
        <v>5.6672</v>
      </c>
      <c r="F206" s="70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 ht="12.75" customHeight="1">
      <c r="A207" s="68"/>
      <c r="B207" s="74">
        <v>45586.0</v>
      </c>
      <c r="C207" s="75" t="s">
        <v>54</v>
      </c>
      <c r="D207" s="76">
        <v>5.7062</v>
      </c>
      <c r="E207" s="76">
        <v>5.7068</v>
      </c>
      <c r="F207" s="70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 ht="12.75" customHeight="1">
      <c r="A208" s="68"/>
      <c r="B208" s="74">
        <v>45587.0</v>
      </c>
      <c r="C208" s="75" t="s">
        <v>54</v>
      </c>
      <c r="D208" s="76">
        <v>5.6952</v>
      </c>
      <c r="E208" s="76">
        <v>5.6958</v>
      </c>
      <c r="F208" s="70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 ht="12.75" customHeight="1">
      <c r="A209" s="68"/>
      <c r="B209" s="74">
        <v>45588.0</v>
      </c>
      <c r="C209" s="75" t="s">
        <v>54</v>
      </c>
      <c r="D209" s="76">
        <v>5.7143</v>
      </c>
      <c r="E209" s="76">
        <v>5.7149</v>
      </c>
      <c r="F209" s="70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 ht="12.75" customHeight="1">
      <c r="A210" s="68"/>
      <c r="B210" s="74">
        <v>45589.0</v>
      </c>
      <c r="C210" s="75" t="s">
        <v>54</v>
      </c>
      <c r="D210" s="76">
        <v>5.7081</v>
      </c>
      <c r="E210" s="76">
        <v>5.7087</v>
      </c>
      <c r="F210" s="70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 ht="12.75" customHeight="1">
      <c r="A211" s="68"/>
      <c r="B211" s="74">
        <v>45590.0</v>
      </c>
      <c r="C211" s="75" t="s">
        <v>54</v>
      </c>
      <c r="D211" s="76">
        <v>5.6963</v>
      </c>
      <c r="E211" s="76">
        <v>5.6969</v>
      </c>
      <c r="F211" s="70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 ht="12.75" customHeight="1">
      <c r="A212" s="68"/>
      <c r="B212" s="74">
        <v>45593.0</v>
      </c>
      <c r="C212" s="75" t="s">
        <v>54</v>
      </c>
      <c r="D212" s="76">
        <v>5.6982</v>
      </c>
      <c r="E212" s="76">
        <v>5.6988</v>
      </c>
      <c r="F212" s="70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 ht="12.75" customHeight="1">
      <c r="A213" s="68"/>
      <c r="B213" s="74">
        <v>45594.0</v>
      </c>
      <c r="C213" s="75" t="s">
        <v>54</v>
      </c>
      <c r="D213" s="76">
        <v>5.7134</v>
      </c>
      <c r="E213" s="76">
        <v>5.714</v>
      </c>
      <c r="F213" s="70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 ht="12.75" customHeight="1">
      <c r="A214" s="68"/>
      <c r="B214" s="74">
        <v>45595.0</v>
      </c>
      <c r="C214" s="75" t="s">
        <v>54</v>
      </c>
      <c r="D214" s="76">
        <v>5.7795</v>
      </c>
      <c r="E214" s="76">
        <v>5.7801</v>
      </c>
      <c r="F214" s="70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 ht="12.75" customHeight="1">
      <c r="A215" s="68"/>
      <c r="B215" s="74">
        <v>45596.0</v>
      </c>
      <c r="C215" s="75" t="s">
        <v>54</v>
      </c>
      <c r="D215" s="76">
        <v>5.7773</v>
      </c>
      <c r="E215" s="76">
        <v>5.7779</v>
      </c>
      <c r="F215" s="70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 ht="12.75" customHeight="1">
      <c r="A216" s="68"/>
      <c r="B216" s="74">
        <v>45597.0</v>
      </c>
      <c r="C216" s="75" t="s">
        <v>54</v>
      </c>
      <c r="D216" s="76">
        <v>5.8067</v>
      </c>
      <c r="E216" s="76">
        <v>5.8073</v>
      </c>
      <c r="F216" s="70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 ht="12.75" customHeight="1">
      <c r="A217" s="68"/>
      <c r="B217" s="74">
        <v>45600.0</v>
      </c>
      <c r="C217" s="75" t="s">
        <v>54</v>
      </c>
      <c r="D217" s="76">
        <v>5.7892</v>
      </c>
      <c r="E217" s="76">
        <v>5.7898</v>
      </c>
      <c r="F217" s="70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 ht="12.75" customHeight="1">
      <c r="A218" s="68"/>
      <c r="B218" s="74">
        <v>45601.0</v>
      </c>
      <c r="C218" s="75" t="s">
        <v>54</v>
      </c>
      <c r="D218" s="76">
        <v>5.784</v>
      </c>
      <c r="E218" s="76">
        <v>5.7846</v>
      </c>
      <c r="F218" s="70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 ht="12.75" customHeight="1">
      <c r="A219" s="68"/>
      <c r="B219" s="74">
        <v>45602.0</v>
      </c>
      <c r="C219" s="75" t="s">
        <v>54</v>
      </c>
      <c r="D219" s="76">
        <v>5.7642</v>
      </c>
      <c r="E219" s="76">
        <v>5.7648</v>
      </c>
      <c r="F219" s="70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 ht="12.75" customHeight="1">
      <c r="A220" s="68"/>
      <c r="B220" s="74">
        <v>45603.0</v>
      </c>
      <c r="C220" s="75" t="s">
        <v>54</v>
      </c>
      <c r="D220" s="76">
        <v>5.6618</v>
      </c>
      <c r="E220" s="76">
        <v>5.6624</v>
      </c>
      <c r="F220" s="70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 ht="12.75" customHeight="1">
      <c r="A221" s="68"/>
      <c r="B221" s="74">
        <v>45604.0</v>
      </c>
      <c r="C221" s="75" t="s">
        <v>54</v>
      </c>
      <c r="D221" s="76">
        <v>5.7642</v>
      </c>
      <c r="E221" s="76">
        <v>5.7648</v>
      </c>
      <c r="F221" s="70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 ht="12.75" customHeight="1">
      <c r="A222" s="68"/>
      <c r="B222" s="74">
        <v>45607.0</v>
      </c>
      <c r="C222" s="75" t="s">
        <v>54</v>
      </c>
      <c r="D222" s="76">
        <v>5.7974</v>
      </c>
      <c r="E222" s="76">
        <v>5.798</v>
      </c>
      <c r="F222" s="70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 ht="12.75" customHeight="1">
      <c r="A223" s="68"/>
      <c r="B223" s="74">
        <v>45608.0</v>
      </c>
      <c r="C223" s="75" t="s">
        <v>54</v>
      </c>
      <c r="D223" s="76">
        <v>5.7688</v>
      </c>
      <c r="E223" s="76">
        <v>5.7694</v>
      </c>
      <c r="F223" s="70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 ht="12.75" customHeight="1">
      <c r="A224" s="68"/>
      <c r="B224" s="74">
        <v>45609.0</v>
      </c>
      <c r="C224" s="75" t="s">
        <v>54</v>
      </c>
      <c r="D224" s="76">
        <v>5.7707</v>
      </c>
      <c r="E224" s="76">
        <v>5.7713</v>
      </c>
      <c r="F224" s="70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 ht="12.75" customHeight="1">
      <c r="A225" s="68"/>
      <c r="B225" s="74">
        <v>45610.0</v>
      </c>
      <c r="C225" s="75" t="s">
        <v>54</v>
      </c>
      <c r="D225" s="76">
        <v>5.7879</v>
      </c>
      <c r="E225" s="76">
        <v>5.7885</v>
      </c>
      <c r="F225" s="70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 ht="12.75" customHeight="1">
      <c r="A226" s="68"/>
      <c r="B226" s="74">
        <v>45614.0</v>
      </c>
      <c r="C226" s="75" t="s">
        <v>54</v>
      </c>
      <c r="D226" s="76">
        <v>5.7597</v>
      </c>
      <c r="E226" s="76">
        <v>5.7603</v>
      </c>
      <c r="F226" s="70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 ht="12.75" customHeight="1">
      <c r="A227" s="68"/>
      <c r="B227" s="74">
        <v>45615.0</v>
      </c>
      <c r="C227" s="75" t="s">
        <v>54</v>
      </c>
      <c r="D227" s="76">
        <v>5.7737</v>
      </c>
      <c r="E227" s="76">
        <v>5.7743</v>
      </c>
      <c r="F227" s="70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 ht="12.75" customHeight="1">
      <c r="A228" s="68"/>
      <c r="B228" s="74">
        <v>45617.0</v>
      </c>
      <c r="C228" s="75" t="s">
        <v>54</v>
      </c>
      <c r="D228" s="76">
        <v>5.8167</v>
      </c>
      <c r="E228" s="76">
        <v>5.8173</v>
      </c>
      <c r="F228" s="70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 ht="12.75" customHeight="1">
      <c r="A229" s="68"/>
      <c r="B229" s="74">
        <v>45618.0</v>
      </c>
      <c r="C229" s="75" t="s">
        <v>54</v>
      </c>
      <c r="D229" s="76">
        <v>5.8118</v>
      </c>
      <c r="E229" s="76">
        <v>5.8124</v>
      </c>
      <c r="F229" s="70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 ht="12.75" customHeight="1">
      <c r="A230" s="68"/>
      <c r="B230" s="74">
        <v>45621.0</v>
      </c>
      <c r="C230" s="75" t="s">
        <v>54</v>
      </c>
      <c r="D230" s="76">
        <v>5.7996</v>
      </c>
      <c r="E230" s="76">
        <v>5.8002</v>
      </c>
      <c r="F230" s="70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 ht="12.75" customHeight="1">
      <c r="A231" s="68"/>
      <c r="B231" s="74">
        <v>45622.0</v>
      </c>
      <c r="C231" s="75" t="s">
        <v>54</v>
      </c>
      <c r="D231" s="76">
        <v>5.7984</v>
      </c>
      <c r="E231" s="76">
        <v>5.799</v>
      </c>
      <c r="F231" s="70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 ht="12.75" customHeight="1">
      <c r="A232" s="68"/>
      <c r="B232" s="74">
        <v>45623.0</v>
      </c>
      <c r="C232" s="75" t="s">
        <v>54</v>
      </c>
      <c r="D232" s="76">
        <v>5.8285</v>
      </c>
      <c r="E232" s="76">
        <v>5.8291</v>
      </c>
      <c r="F232" s="70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 ht="12.75" customHeight="1">
      <c r="A233" s="68"/>
      <c r="B233" s="74">
        <v>45624.0</v>
      </c>
      <c r="C233" s="75" t="s">
        <v>54</v>
      </c>
      <c r="D233" s="76">
        <v>5.9865</v>
      </c>
      <c r="E233" s="76">
        <v>5.9871</v>
      </c>
      <c r="F233" s="70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 ht="12.75" customHeight="1">
      <c r="A234" s="68"/>
      <c r="B234" s="74">
        <v>45625.0</v>
      </c>
      <c r="C234" s="75" t="s">
        <v>54</v>
      </c>
      <c r="D234" s="76">
        <v>6.0529</v>
      </c>
      <c r="E234" s="76">
        <v>6.0535</v>
      </c>
      <c r="F234" s="70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 ht="12.75" customHeight="1">
      <c r="A235" s="68"/>
      <c r="B235" s="74">
        <v>45628.0</v>
      </c>
      <c r="C235" s="75" t="s">
        <v>54</v>
      </c>
      <c r="D235" s="76">
        <v>6.0628</v>
      </c>
      <c r="E235" s="76">
        <v>6.0634</v>
      </c>
      <c r="F235" s="70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 ht="12.75" customHeight="1">
      <c r="A236" s="68"/>
      <c r="B236" s="74">
        <v>45629.0</v>
      </c>
      <c r="C236" s="75" t="s">
        <v>54</v>
      </c>
      <c r="D236" s="76">
        <v>6.0701</v>
      </c>
      <c r="E236" s="76">
        <v>6.0707</v>
      </c>
      <c r="F236" s="70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 ht="12.75" customHeight="1">
      <c r="A237" s="68"/>
      <c r="B237" s="74">
        <v>45630.0</v>
      </c>
      <c r="C237" s="75" t="s">
        <v>54</v>
      </c>
      <c r="D237" s="76">
        <v>6.0575</v>
      </c>
      <c r="E237" s="76">
        <v>6.0581</v>
      </c>
      <c r="F237" s="70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 ht="12.75" customHeight="1">
      <c r="A238" s="68"/>
      <c r="B238" s="74">
        <v>45631.0</v>
      </c>
      <c r="C238" s="75" t="s">
        <v>54</v>
      </c>
      <c r="D238" s="76">
        <v>5.9843</v>
      </c>
      <c r="E238" s="76">
        <v>5.9849</v>
      </c>
      <c r="F238" s="70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 ht="12.75" customHeight="1">
      <c r="A239" s="68"/>
      <c r="B239" s="74">
        <v>45632.0</v>
      </c>
      <c r="C239" s="75" t="s">
        <v>54</v>
      </c>
      <c r="D239" s="76">
        <v>6.0287</v>
      </c>
      <c r="E239" s="76">
        <v>6.0293</v>
      </c>
      <c r="F239" s="70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 ht="12.75" customHeight="1">
      <c r="A240" s="68"/>
      <c r="B240" s="74">
        <v>45635.0</v>
      </c>
      <c r="C240" s="75" t="s">
        <v>54</v>
      </c>
      <c r="D240" s="76">
        <v>6.0564</v>
      </c>
      <c r="E240" s="76">
        <v>6.057</v>
      </c>
      <c r="F240" s="70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 ht="12.75" customHeight="1">
      <c r="A241" s="68"/>
      <c r="B241" s="74">
        <v>45636.0</v>
      </c>
      <c r="C241" s="75" t="s">
        <v>54</v>
      </c>
      <c r="D241" s="76">
        <v>6.0523</v>
      </c>
      <c r="E241" s="76">
        <v>6.0529</v>
      </c>
      <c r="F241" s="70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 ht="12.75" customHeight="1">
      <c r="A242" s="68"/>
      <c r="B242" s="74">
        <v>45637.0</v>
      </c>
      <c r="C242" s="75" t="s">
        <v>54</v>
      </c>
      <c r="D242" s="76">
        <v>6.0314</v>
      </c>
      <c r="E242" s="76">
        <v>6.032</v>
      </c>
      <c r="F242" s="70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 ht="12.75" customHeight="1">
      <c r="A243" s="68"/>
      <c r="B243" s="74">
        <v>45638.0</v>
      </c>
      <c r="C243" s="75" t="s">
        <v>54</v>
      </c>
      <c r="D243" s="76">
        <v>5.9402</v>
      </c>
      <c r="E243" s="76">
        <v>5.9408</v>
      </c>
      <c r="F243" s="70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 ht="12.75" customHeight="1">
      <c r="A244" s="68"/>
      <c r="B244" s="74">
        <v>45639.0</v>
      </c>
      <c r="C244" s="75" t="s">
        <v>54</v>
      </c>
      <c r="D244" s="76">
        <v>6.0394</v>
      </c>
      <c r="E244" s="76">
        <v>6.04</v>
      </c>
      <c r="F244" s="70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 ht="12.75" customHeight="1">
      <c r="A245" s="68"/>
      <c r="B245" s="74">
        <v>45642.0</v>
      </c>
      <c r="C245" s="75" t="s">
        <v>54</v>
      </c>
      <c r="D245" s="76">
        <v>6.0504</v>
      </c>
      <c r="E245" s="76">
        <v>6.0509</v>
      </c>
      <c r="F245" s="70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 ht="12.75" customHeight="1">
      <c r="A246" s="68"/>
      <c r="B246" s="74">
        <v>45643.0</v>
      </c>
      <c r="C246" s="75" t="s">
        <v>54</v>
      </c>
      <c r="D246" s="76">
        <v>6.1679</v>
      </c>
      <c r="E246" s="76">
        <v>6.1685</v>
      </c>
      <c r="F246" s="70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 ht="12.75" customHeight="1">
      <c r="A247" s="68"/>
      <c r="B247" s="74">
        <v>45644.0</v>
      </c>
      <c r="C247" s="75" t="s">
        <v>54</v>
      </c>
      <c r="D247" s="76">
        <v>6.1618</v>
      </c>
      <c r="E247" s="76">
        <v>6.1624</v>
      </c>
      <c r="F247" s="70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 ht="12.75" customHeight="1">
      <c r="A248" s="68"/>
      <c r="B248" s="74">
        <v>45645.0</v>
      </c>
      <c r="C248" s="75" t="s">
        <v>54</v>
      </c>
      <c r="D248" s="76">
        <v>6.1835</v>
      </c>
      <c r="E248" s="76">
        <v>6.1841</v>
      </c>
      <c r="F248" s="70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 ht="12.75" customHeight="1">
      <c r="A249" s="68"/>
      <c r="B249" s="74">
        <v>45646.0</v>
      </c>
      <c r="C249" s="75" t="s">
        <v>54</v>
      </c>
      <c r="D249" s="76">
        <v>6.0774</v>
      </c>
      <c r="E249" s="76">
        <v>6.078</v>
      </c>
      <c r="F249" s="70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 ht="12.75" customHeight="1">
      <c r="A250" s="68"/>
      <c r="B250" s="74">
        <v>45649.0</v>
      </c>
      <c r="C250" s="75" t="s">
        <v>54</v>
      </c>
      <c r="D250" s="76">
        <v>6.1606</v>
      </c>
      <c r="E250" s="76">
        <v>6.1612</v>
      </c>
      <c r="F250" s="70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 ht="12.75" customHeight="1">
      <c r="A251" s="68"/>
      <c r="B251" s="74">
        <v>45650.0</v>
      </c>
      <c r="C251" s="75" t="s">
        <v>54</v>
      </c>
      <c r="D251" s="76">
        <v>6.1527</v>
      </c>
      <c r="E251" s="76">
        <v>6.1541</v>
      </c>
      <c r="F251" s="70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 ht="12.75" customHeight="1">
      <c r="A252" s="68"/>
      <c r="B252" s="74">
        <v>45652.0</v>
      </c>
      <c r="C252" s="75" t="s">
        <v>54</v>
      </c>
      <c r="D252" s="76">
        <v>6.165</v>
      </c>
      <c r="E252" s="76">
        <v>6.1656</v>
      </c>
      <c r="F252" s="70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 ht="12.75" customHeight="1">
      <c r="A253" s="68"/>
      <c r="B253" s="74">
        <v>45653.0</v>
      </c>
      <c r="C253" s="75" t="s">
        <v>54</v>
      </c>
      <c r="D253" s="76">
        <v>6.1985</v>
      </c>
      <c r="E253" s="76">
        <v>6.1991</v>
      </c>
      <c r="F253" s="70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 ht="12.75" customHeight="1">
      <c r="A254" s="68"/>
      <c r="B254" s="74">
        <v>45656.0</v>
      </c>
      <c r="C254" s="75" t="s">
        <v>54</v>
      </c>
      <c r="D254" s="76">
        <v>6.1917</v>
      </c>
      <c r="E254" s="76">
        <v>6.1923</v>
      </c>
      <c r="F254" s="70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 ht="12.75" customHeight="1">
      <c r="A255" s="68"/>
      <c r="B255" s="74">
        <v>45657.0</v>
      </c>
      <c r="C255" s="75" t="s">
        <v>54</v>
      </c>
      <c r="D255" s="76">
        <v>6.1917</v>
      </c>
      <c r="E255" s="76">
        <v>6.1923</v>
      </c>
      <c r="F255" s="70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 ht="12.75" customHeight="1">
      <c r="A256" s="70"/>
      <c r="B256" s="74">
        <v>45659.0</v>
      </c>
      <c r="C256" s="75" t="s">
        <v>54</v>
      </c>
      <c r="D256" s="75">
        <v>6.208</v>
      </c>
      <c r="E256" s="75">
        <v>6.2086</v>
      </c>
      <c r="F256" s="70"/>
      <c r="G256" s="77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 ht="12.75" customHeight="1">
      <c r="A257" s="71"/>
      <c r="B257" s="74">
        <v>45660.0</v>
      </c>
      <c r="C257" s="75" t="s">
        <v>54</v>
      </c>
      <c r="D257" s="75">
        <v>6.1557</v>
      </c>
      <c r="E257" s="75">
        <v>6.1563</v>
      </c>
      <c r="F257" s="71"/>
      <c r="G257" s="77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 ht="12.75" customHeight="1">
      <c r="A258" s="71"/>
      <c r="B258" s="74">
        <v>45663.0</v>
      </c>
      <c r="C258" s="75" t="s">
        <v>54</v>
      </c>
      <c r="D258" s="75">
        <v>6.1113</v>
      </c>
      <c r="E258" s="75">
        <v>6.1119</v>
      </c>
      <c r="F258" s="71"/>
      <c r="G258" s="77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 ht="12.75" customHeight="1">
      <c r="A259" s="71"/>
      <c r="B259" s="74">
        <v>45664.0</v>
      </c>
      <c r="C259" s="75" t="s">
        <v>54</v>
      </c>
      <c r="D259" s="75">
        <v>6.0735</v>
      </c>
      <c r="E259" s="75">
        <v>6.0741</v>
      </c>
      <c r="F259" s="71"/>
      <c r="G259" s="77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 ht="12.75" customHeight="1">
      <c r="A260" s="71"/>
      <c r="B260" s="74">
        <v>45665.0</v>
      </c>
      <c r="C260" s="75" t="s">
        <v>54</v>
      </c>
      <c r="D260" s="75">
        <v>6.1315</v>
      </c>
      <c r="E260" s="75">
        <v>6.1321</v>
      </c>
      <c r="F260" s="71"/>
      <c r="G260" s="77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 ht="12.75" customHeight="1">
      <c r="A261" s="71"/>
      <c r="B261" s="74">
        <v>45666.0</v>
      </c>
      <c r="C261" s="75" t="s">
        <v>54</v>
      </c>
      <c r="D261" s="75">
        <v>6.089</v>
      </c>
      <c r="E261" s="75">
        <v>6.0896</v>
      </c>
      <c r="F261" s="71"/>
      <c r="G261" s="77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 ht="12.75" customHeight="1">
      <c r="A262" s="71"/>
      <c r="B262" s="74">
        <v>45667.0</v>
      </c>
      <c r="C262" s="75" t="s">
        <v>54</v>
      </c>
      <c r="D262" s="75">
        <v>6.0959</v>
      </c>
      <c r="E262" s="75">
        <v>6.0965</v>
      </c>
      <c r="F262" s="71"/>
      <c r="G262" s="77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 ht="12.75" customHeight="1">
      <c r="A263" s="71"/>
      <c r="B263" s="74">
        <v>45670.0</v>
      </c>
      <c r="C263" s="75" t="s">
        <v>54</v>
      </c>
      <c r="D263" s="75">
        <v>6.1073</v>
      </c>
      <c r="E263" s="75">
        <v>6.1079</v>
      </c>
      <c r="F263" s="71"/>
      <c r="G263" s="77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 ht="12.75" customHeight="1">
      <c r="A264" s="71"/>
      <c r="B264" s="74">
        <v>45671.0</v>
      </c>
      <c r="C264" s="75" t="s">
        <v>54</v>
      </c>
      <c r="D264" s="75">
        <v>6.0665</v>
      </c>
      <c r="E264" s="75">
        <v>6.0671</v>
      </c>
      <c r="F264" s="71"/>
      <c r="G264" s="77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 ht="12.75" customHeight="1">
      <c r="A265" s="71"/>
      <c r="B265" s="74">
        <v>45672.0</v>
      </c>
      <c r="C265" s="75" t="s">
        <v>54</v>
      </c>
      <c r="D265" s="75">
        <v>6.0371</v>
      </c>
      <c r="E265" s="75">
        <v>6.0377</v>
      </c>
      <c r="F265" s="71"/>
      <c r="G265" s="77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 ht="12.75" customHeight="1">
      <c r="A266" s="71"/>
      <c r="B266" s="74">
        <v>45673.0</v>
      </c>
      <c r="C266" s="75" t="s">
        <v>54</v>
      </c>
      <c r="D266" s="75">
        <v>6.0316</v>
      </c>
      <c r="E266" s="75">
        <v>6.0322</v>
      </c>
      <c r="F266" s="71"/>
      <c r="G266" s="77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 ht="12.75" customHeight="1">
      <c r="A267" s="71"/>
      <c r="B267" s="74">
        <v>45674.0</v>
      </c>
      <c r="C267" s="75" t="s">
        <v>54</v>
      </c>
      <c r="D267" s="75">
        <v>6.0603</v>
      </c>
      <c r="E267" s="75">
        <v>6.0609</v>
      </c>
      <c r="F267" s="71"/>
      <c r="G267" s="77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 ht="12.75" customHeight="1">
      <c r="A268" s="71"/>
      <c r="B268" s="74">
        <v>45677.0</v>
      </c>
      <c r="C268" s="75" t="s">
        <v>54</v>
      </c>
      <c r="D268" s="75">
        <v>6.0492</v>
      </c>
      <c r="E268" s="75">
        <v>6.0498</v>
      </c>
      <c r="F268" s="71"/>
      <c r="G268" s="77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 ht="12.75" customHeight="1">
      <c r="A269" s="71"/>
      <c r="B269" s="74">
        <v>45678.0</v>
      </c>
      <c r="C269" s="75" t="s">
        <v>54</v>
      </c>
      <c r="D269" s="75">
        <v>6.0434</v>
      </c>
      <c r="E269" s="75">
        <v>6.044</v>
      </c>
      <c r="F269" s="71"/>
      <c r="G269" s="77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 ht="12.75" customHeight="1">
      <c r="A270" s="71"/>
      <c r="B270" s="74">
        <v>45679.0</v>
      </c>
      <c r="C270" s="75" t="s">
        <v>54</v>
      </c>
      <c r="D270" s="75">
        <v>5.9668</v>
      </c>
      <c r="E270" s="75">
        <v>5.9674</v>
      </c>
      <c r="F270" s="71"/>
      <c r="G270" s="77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 ht="12.75" customHeight="1">
      <c r="A271" s="71"/>
      <c r="B271" s="74">
        <v>45680.0</v>
      </c>
      <c r="C271" s="75" t="s">
        <v>54</v>
      </c>
      <c r="D271" s="75">
        <v>5.9393</v>
      </c>
      <c r="E271" s="75">
        <v>5.9399</v>
      </c>
      <c r="F271" s="71"/>
      <c r="G271" s="77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 ht="12.75" customHeight="1">
      <c r="A272" s="71"/>
      <c r="B272" s="74">
        <v>45681.0</v>
      </c>
      <c r="C272" s="75" t="s">
        <v>54</v>
      </c>
      <c r="D272" s="75">
        <v>5.8919</v>
      </c>
      <c r="E272" s="75">
        <v>5.8925</v>
      </c>
      <c r="F272" s="71"/>
      <c r="G272" s="77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 ht="12.75" customHeight="1">
      <c r="A273" s="71"/>
      <c r="B273" s="74">
        <v>45684.0</v>
      </c>
      <c r="C273" s="75" t="s">
        <v>54</v>
      </c>
      <c r="D273" s="75">
        <v>5.9266</v>
      </c>
      <c r="E273" s="75">
        <v>5.9272</v>
      </c>
      <c r="F273" s="71"/>
      <c r="G273" s="77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 ht="12.75" customHeight="1">
      <c r="A274" s="71"/>
      <c r="B274" s="74">
        <v>45685.0</v>
      </c>
      <c r="C274" s="75" t="s">
        <v>54</v>
      </c>
      <c r="D274" s="75">
        <v>5.8924</v>
      </c>
      <c r="E274" s="75">
        <v>5.893</v>
      </c>
      <c r="F274" s="71"/>
      <c r="G274" s="77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 ht="12.75" customHeight="1">
      <c r="A275" s="71"/>
      <c r="B275" s="74">
        <v>45686.0</v>
      </c>
      <c r="C275" s="75" t="s">
        <v>54</v>
      </c>
      <c r="D275" s="75">
        <v>5.859</v>
      </c>
      <c r="E275" s="75">
        <v>5.8596</v>
      </c>
      <c r="F275" s="71"/>
      <c r="G275" s="77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 ht="12.75" customHeight="1">
      <c r="A276" s="71"/>
      <c r="B276" s="74">
        <v>45687.0</v>
      </c>
      <c r="C276" s="75" t="s">
        <v>54</v>
      </c>
      <c r="D276" s="75">
        <v>5.9</v>
      </c>
      <c r="E276" s="75">
        <v>5.9006</v>
      </c>
      <c r="F276" s="71"/>
      <c r="G276" s="77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 ht="12.75" customHeight="1">
      <c r="A277" s="71"/>
      <c r="B277" s="74">
        <v>45688.0</v>
      </c>
      <c r="C277" s="75" t="s">
        <v>54</v>
      </c>
      <c r="D277" s="75">
        <v>5.8295</v>
      </c>
      <c r="E277" s="75">
        <v>5.8301</v>
      </c>
      <c r="F277" s="71"/>
      <c r="G277" s="77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 ht="12.75" customHeight="1">
      <c r="A278" s="71"/>
      <c r="B278" s="74">
        <v>45691.0</v>
      </c>
      <c r="C278" s="75" t="s">
        <v>54</v>
      </c>
      <c r="D278" s="75">
        <v>5.8681</v>
      </c>
      <c r="E278" s="75">
        <v>5.8687</v>
      </c>
      <c r="F278" s="71"/>
      <c r="G278" s="77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 ht="12.75" customHeight="1">
      <c r="A279" s="71"/>
      <c r="B279" s="74">
        <v>45692.0</v>
      </c>
      <c r="C279" s="75" t="s">
        <v>54</v>
      </c>
      <c r="D279" s="75">
        <v>5.7921</v>
      </c>
      <c r="E279" s="75">
        <v>5.7927</v>
      </c>
      <c r="F279" s="71"/>
      <c r="G279" s="77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 ht="12.75" customHeight="1">
      <c r="A280" s="71"/>
      <c r="B280" s="74">
        <v>45693.0</v>
      </c>
      <c r="C280" s="75" t="s">
        <v>54</v>
      </c>
      <c r="D280" s="75">
        <v>5.7991</v>
      </c>
      <c r="E280" s="75">
        <v>5.7997</v>
      </c>
      <c r="F280" s="71"/>
      <c r="G280" s="77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 ht="12.75" customHeight="1">
      <c r="A281" s="71"/>
      <c r="B281" s="74">
        <v>45694.0</v>
      </c>
      <c r="C281" s="75" t="s">
        <v>54</v>
      </c>
      <c r="D281" s="75">
        <v>5.785</v>
      </c>
      <c r="E281" s="75">
        <v>5.7856</v>
      </c>
      <c r="F281" s="71"/>
      <c r="G281" s="77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 ht="12.75" customHeight="1">
      <c r="A282" s="71"/>
      <c r="B282" s="74">
        <v>45695.0</v>
      </c>
      <c r="C282" s="75" t="s">
        <v>54</v>
      </c>
      <c r="D282" s="75">
        <v>5.7551</v>
      </c>
      <c r="E282" s="75">
        <v>5.7557</v>
      </c>
      <c r="F282" s="71"/>
      <c r="G282" s="77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 ht="12.75" customHeight="1">
      <c r="A283" s="71"/>
      <c r="B283" s="74">
        <v>45698.0</v>
      </c>
      <c r="C283" s="75" t="s">
        <v>54</v>
      </c>
      <c r="D283" s="75">
        <v>5.7802</v>
      </c>
      <c r="E283" s="75">
        <v>5.7808</v>
      </c>
      <c r="F283" s="71"/>
      <c r="G283" s="77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 ht="12.75" customHeight="1">
      <c r="A284" s="71"/>
      <c r="B284" s="74">
        <v>45699.0</v>
      </c>
      <c r="C284" s="75" t="s">
        <v>54</v>
      </c>
      <c r="D284" s="75">
        <v>5.7782</v>
      </c>
      <c r="E284" s="75">
        <v>5.7788</v>
      </c>
      <c r="F284" s="71"/>
      <c r="G284" s="77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 ht="12.75" customHeight="1">
      <c r="A285" s="71"/>
      <c r="B285" s="74">
        <v>45700.0</v>
      </c>
      <c r="C285" s="75" t="s">
        <v>54</v>
      </c>
      <c r="D285" s="75">
        <v>5.7705</v>
      </c>
      <c r="E285" s="75">
        <v>5.7711</v>
      </c>
      <c r="F285" s="71"/>
      <c r="G285" s="77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 ht="12.75" customHeight="1">
      <c r="A286" s="71"/>
      <c r="B286" s="74">
        <v>45701.0</v>
      </c>
      <c r="C286" s="75" t="s">
        <v>54</v>
      </c>
      <c r="D286" s="75">
        <v>5.7782</v>
      </c>
      <c r="E286" s="75">
        <v>5.7788</v>
      </c>
      <c r="F286" s="71"/>
      <c r="G286" s="77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 ht="12.75" customHeight="1">
      <c r="A287" s="71"/>
      <c r="B287" s="74">
        <v>45702.0</v>
      </c>
      <c r="C287" s="75" t="s">
        <v>54</v>
      </c>
      <c r="D287" s="75">
        <v>5.7277</v>
      </c>
      <c r="E287" s="75">
        <v>5.7283</v>
      </c>
      <c r="F287" s="71"/>
      <c r="G287" s="77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 ht="12.75" customHeight="1">
      <c r="A288" s="71"/>
      <c r="B288" s="74">
        <v>45705.0</v>
      </c>
      <c r="C288" s="75" t="s">
        <v>54</v>
      </c>
      <c r="D288" s="75">
        <v>5.7099</v>
      </c>
      <c r="E288" s="75">
        <v>5.7105</v>
      </c>
      <c r="F288" s="71"/>
      <c r="G288" s="77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 ht="12.75" customHeight="1">
      <c r="A289" s="71"/>
      <c r="B289" s="74">
        <v>45706.0</v>
      </c>
      <c r="C289" s="75" t="s">
        <v>54</v>
      </c>
      <c r="D289" s="75">
        <v>5.6973</v>
      </c>
      <c r="E289" s="75">
        <v>5.6979</v>
      </c>
      <c r="F289" s="71"/>
      <c r="G289" s="77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 ht="12.75" customHeight="1">
      <c r="A290" s="71"/>
      <c r="B290" s="74">
        <v>45707.0</v>
      </c>
      <c r="C290" s="75" t="s">
        <v>54</v>
      </c>
      <c r="D290" s="75">
        <v>5.7081</v>
      </c>
      <c r="E290" s="75">
        <v>5.7087</v>
      </c>
      <c r="F290" s="71"/>
      <c r="G290" s="77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 ht="12.75" customHeight="1">
      <c r="A291" s="71"/>
      <c r="B291" s="74">
        <v>45708.0</v>
      </c>
      <c r="C291" s="75" t="s">
        <v>54</v>
      </c>
      <c r="D291" s="75">
        <v>5.7013</v>
      </c>
      <c r="E291" s="75">
        <v>5.7019</v>
      </c>
      <c r="F291" s="71"/>
      <c r="G291" s="77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 ht="12.75" customHeight="1">
      <c r="A292" s="71"/>
      <c r="B292" s="74">
        <v>45709.0</v>
      </c>
      <c r="C292" s="75" t="s">
        <v>54</v>
      </c>
      <c r="D292" s="75">
        <v>5.7021</v>
      </c>
      <c r="E292" s="75">
        <v>5.7027</v>
      </c>
      <c r="F292" s="71"/>
      <c r="G292" s="77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 ht="12.75" customHeight="1">
      <c r="A293" s="71"/>
      <c r="B293" s="74">
        <v>45712.0</v>
      </c>
      <c r="C293" s="75" t="s">
        <v>54</v>
      </c>
      <c r="D293" s="75">
        <v>5.7252</v>
      </c>
      <c r="E293" s="75">
        <v>5.7258</v>
      </c>
      <c r="F293" s="71"/>
      <c r="G293" s="77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 ht="12.75" customHeight="1">
      <c r="A294" s="71"/>
      <c r="B294" s="74">
        <v>45713.0</v>
      </c>
      <c r="C294" s="75" t="s">
        <v>54</v>
      </c>
      <c r="D294" s="75">
        <v>5.7773</v>
      </c>
      <c r="E294" s="75">
        <v>5.7779</v>
      </c>
      <c r="F294" s="71"/>
      <c r="G294" s="77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 ht="12.75" customHeight="1">
      <c r="A295" s="71"/>
      <c r="B295" s="74">
        <v>45714.0</v>
      </c>
      <c r="C295" s="75" t="s">
        <v>54</v>
      </c>
      <c r="D295" s="75">
        <v>5.7751</v>
      </c>
      <c r="E295" s="75">
        <v>5.7757</v>
      </c>
      <c r="F295" s="71"/>
      <c r="G295" s="77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 ht="12.75" customHeight="1">
      <c r="A296" s="71"/>
      <c r="B296" s="74">
        <v>45715.0</v>
      </c>
      <c r="C296" s="75" t="s">
        <v>54</v>
      </c>
      <c r="D296" s="75">
        <v>5.8222</v>
      </c>
      <c r="E296" s="75">
        <v>5.8228</v>
      </c>
      <c r="F296" s="71"/>
      <c r="G296" s="77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 ht="12.75" customHeight="1">
      <c r="A297" s="71"/>
      <c r="B297" s="74">
        <v>45716.0</v>
      </c>
      <c r="C297" s="75" t="s">
        <v>54</v>
      </c>
      <c r="D297" s="75">
        <v>5.8482</v>
      </c>
      <c r="E297" s="75">
        <v>5.8488</v>
      </c>
      <c r="F297" s="71"/>
      <c r="G297" s="77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 ht="12.75" customHeight="1">
      <c r="A298" s="71"/>
      <c r="B298" s="74">
        <v>45721.0</v>
      </c>
      <c r="C298" s="75" t="s">
        <v>54</v>
      </c>
      <c r="D298" s="75">
        <v>5.7908</v>
      </c>
      <c r="E298" s="75">
        <v>5.7914</v>
      </c>
      <c r="F298" s="71"/>
      <c r="G298" s="77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 ht="12.75" customHeight="1">
      <c r="A299" s="71"/>
      <c r="B299" s="74">
        <v>45722.0</v>
      </c>
      <c r="C299" s="75" t="s">
        <v>54</v>
      </c>
      <c r="D299" s="75">
        <v>5.7483</v>
      </c>
      <c r="E299" s="75">
        <v>5.7489</v>
      </c>
      <c r="F299" s="71"/>
      <c r="G299" s="77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 ht="12.75" customHeight="1">
      <c r="A300" s="71"/>
      <c r="B300" s="74">
        <v>45723.0</v>
      </c>
      <c r="C300" s="75" t="s">
        <v>54</v>
      </c>
      <c r="D300" s="75">
        <v>5.7682</v>
      </c>
      <c r="E300" s="75">
        <v>5.7688</v>
      </c>
      <c r="F300" s="71"/>
      <c r="G300" s="77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 ht="12.75" customHeight="1">
      <c r="A301" s="71"/>
      <c r="B301" s="74">
        <v>45726.0</v>
      </c>
      <c r="C301" s="75" t="s">
        <v>54</v>
      </c>
      <c r="D301" s="75">
        <v>5.7924</v>
      </c>
      <c r="E301" s="75">
        <v>5.793</v>
      </c>
      <c r="F301" s="71"/>
      <c r="G301" s="77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 ht="12.75" customHeight="1">
      <c r="A302" s="71"/>
      <c r="B302" s="74">
        <v>45727.0</v>
      </c>
      <c r="C302" s="75" t="s">
        <v>54</v>
      </c>
      <c r="D302" s="75">
        <v>5.8341</v>
      </c>
      <c r="E302" s="75">
        <v>5.8346</v>
      </c>
      <c r="F302" s="71"/>
      <c r="G302" s="77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 ht="12.75" customHeight="1">
      <c r="A303" s="71"/>
      <c r="B303" s="74">
        <v>45728.0</v>
      </c>
      <c r="C303" s="75" t="s">
        <v>54</v>
      </c>
      <c r="D303" s="75">
        <v>5.8262</v>
      </c>
      <c r="E303" s="75">
        <v>5.8268</v>
      </c>
      <c r="F303" s="71"/>
      <c r="G303" s="77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 ht="12.75" customHeight="1">
      <c r="A304" s="71"/>
      <c r="B304" s="74">
        <v>45729.0</v>
      </c>
      <c r="C304" s="75" t="s">
        <v>54</v>
      </c>
      <c r="D304" s="75">
        <v>5.8125</v>
      </c>
      <c r="E304" s="75">
        <v>5.8131</v>
      </c>
      <c r="F304" s="71"/>
      <c r="G304" s="77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 ht="12.75" customHeight="1">
      <c r="A305" s="71"/>
      <c r="B305" s="74">
        <v>45730.0</v>
      </c>
      <c r="C305" s="75" t="s">
        <v>54</v>
      </c>
      <c r="D305" s="75">
        <v>5.7413</v>
      </c>
      <c r="E305" s="75">
        <v>5.7419</v>
      </c>
      <c r="F305" s="71"/>
      <c r="G305" s="77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 ht="12.75" customHeight="1">
      <c r="A306" s="71"/>
      <c r="B306" s="74">
        <v>45733.0</v>
      </c>
      <c r="C306" s="75" t="s">
        <v>54</v>
      </c>
      <c r="D306" s="75">
        <v>5.7076</v>
      </c>
      <c r="E306" s="75">
        <v>5.7082</v>
      </c>
      <c r="F306" s="71"/>
      <c r="G306" s="77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 ht="12.75" customHeight="1">
      <c r="A307" s="71"/>
      <c r="B307" s="74">
        <v>45734.0</v>
      </c>
      <c r="C307" s="75" t="s">
        <v>54</v>
      </c>
      <c r="D307" s="75">
        <v>5.6846</v>
      </c>
      <c r="E307" s="75">
        <v>5.6852</v>
      </c>
      <c r="F307" s="71"/>
      <c r="G307" s="77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 ht="12.75" customHeight="1">
      <c r="A308" s="71"/>
      <c r="B308" s="74">
        <v>45735.0</v>
      </c>
      <c r="C308" s="75" t="s">
        <v>54</v>
      </c>
      <c r="D308" s="75">
        <v>5.6651</v>
      </c>
      <c r="E308" s="75">
        <v>5.6657</v>
      </c>
      <c r="F308" s="71"/>
      <c r="G308" s="77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 ht="12.75" customHeight="1">
      <c r="A309" s="71"/>
      <c r="B309" s="74">
        <v>45736.0</v>
      </c>
      <c r="C309" s="75" t="s">
        <v>54</v>
      </c>
      <c r="D309" s="75">
        <v>5.6622</v>
      </c>
      <c r="E309" s="75">
        <v>5.6628</v>
      </c>
      <c r="F309" s="71"/>
      <c r="G309" s="77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 ht="12.75" customHeight="1">
      <c r="A310" s="71"/>
      <c r="B310" s="74">
        <v>45737.0</v>
      </c>
      <c r="C310" s="75" t="s">
        <v>54</v>
      </c>
      <c r="D310" s="75">
        <v>5.7235</v>
      </c>
      <c r="E310" s="75">
        <v>5.7241</v>
      </c>
      <c r="F310" s="71"/>
      <c r="G310" s="77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 ht="12.75" customHeight="1">
      <c r="A311" s="71"/>
      <c r="B311" s="74">
        <v>45740.0</v>
      </c>
      <c r="C311" s="75" t="s">
        <v>54</v>
      </c>
      <c r="D311" s="75">
        <v>5.7397</v>
      </c>
      <c r="E311" s="75">
        <v>5.7403</v>
      </c>
      <c r="F311" s="71"/>
      <c r="G311" s="77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 ht="12.75" customHeight="1">
      <c r="A312" s="71"/>
      <c r="B312" s="74">
        <v>45741.0</v>
      </c>
      <c r="C312" s="75" t="s">
        <v>54</v>
      </c>
      <c r="D312" s="75">
        <v>5.6986</v>
      </c>
      <c r="E312" s="75">
        <v>5.6992</v>
      </c>
      <c r="F312" s="71"/>
      <c r="G312" s="77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 ht="12.75" customHeight="1">
      <c r="A313" s="71"/>
      <c r="B313" s="74">
        <v>45742.0</v>
      </c>
      <c r="C313" s="75" t="s">
        <v>54</v>
      </c>
      <c r="D313" s="75">
        <v>5.7292</v>
      </c>
      <c r="E313" s="75">
        <v>5.7298</v>
      </c>
      <c r="F313" s="71"/>
      <c r="G313" s="77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 ht="12.75" customHeight="1">
      <c r="A314" s="71"/>
      <c r="B314" s="74">
        <v>45743.0</v>
      </c>
      <c r="C314" s="75" t="s">
        <v>54</v>
      </c>
      <c r="D314" s="75">
        <v>5.7468</v>
      </c>
      <c r="E314" s="75">
        <v>5.7474</v>
      </c>
      <c r="F314" s="71"/>
      <c r="G314" s="77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 ht="12.75" customHeight="1">
      <c r="A315" s="71"/>
      <c r="B315" s="74">
        <v>45744.0</v>
      </c>
      <c r="C315" s="75" t="s">
        <v>54</v>
      </c>
      <c r="D315" s="75">
        <v>5.7654</v>
      </c>
      <c r="E315" s="75">
        <v>5.766</v>
      </c>
      <c r="F315" s="71"/>
      <c r="G315" s="77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 ht="12.75" customHeight="1">
      <c r="A316" s="71"/>
      <c r="B316" s="74">
        <v>45747.0</v>
      </c>
      <c r="C316" s="75" t="s">
        <v>54</v>
      </c>
      <c r="D316" s="75">
        <v>5.7416</v>
      </c>
      <c r="E316" s="75">
        <v>5.7422</v>
      </c>
      <c r="F316" s="71"/>
      <c r="G316" s="77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 ht="12.75" customHeight="1">
      <c r="A317" s="71"/>
      <c r="B317" s="74">
        <v>45748.0</v>
      </c>
      <c r="C317" s="75" t="s">
        <v>54</v>
      </c>
      <c r="D317" s="75">
        <v>5.7045</v>
      </c>
      <c r="E317" s="75">
        <v>5.7051</v>
      </c>
      <c r="F317" s="71"/>
      <c r="G317" s="77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 ht="12.75" customHeight="1">
      <c r="A318" s="71"/>
      <c r="B318" s="74">
        <v>45749.0</v>
      </c>
      <c r="C318" s="75" t="s">
        <v>54</v>
      </c>
      <c r="D318" s="75">
        <v>5.6918</v>
      </c>
      <c r="E318" s="75">
        <v>5.6923</v>
      </c>
      <c r="F318" s="71"/>
      <c r="G318" s="77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 ht="12.75" customHeight="1">
      <c r="A319" s="71"/>
      <c r="B319" s="74">
        <v>45750.0</v>
      </c>
      <c r="C319" s="75" t="s">
        <v>54</v>
      </c>
      <c r="D319" s="75">
        <v>5.6062</v>
      </c>
      <c r="E319" s="75">
        <v>5.6067</v>
      </c>
      <c r="F319" s="71"/>
      <c r="G319" s="77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 ht="12.75" customHeight="1">
      <c r="A320" s="71"/>
      <c r="B320" s="74">
        <v>45751.0</v>
      </c>
      <c r="C320" s="75" t="s">
        <v>54</v>
      </c>
      <c r="D320" s="75">
        <v>5.7771</v>
      </c>
      <c r="E320" s="75">
        <v>5.7777</v>
      </c>
      <c r="F320" s="71"/>
      <c r="G320" s="77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 ht="12.75" customHeight="1">
      <c r="A321" s="71"/>
      <c r="B321" s="74">
        <v>45754.0</v>
      </c>
      <c r="C321" s="75" t="s">
        <v>54</v>
      </c>
      <c r="D321" s="75">
        <v>5.8871</v>
      </c>
      <c r="E321" s="75">
        <v>5.8877</v>
      </c>
      <c r="F321" s="71"/>
      <c r="G321" s="77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 ht="12.75" customHeight="1">
      <c r="A322" s="71"/>
      <c r="B322" s="74">
        <v>45755.0</v>
      </c>
      <c r="C322" s="75" t="s">
        <v>54</v>
      </c>
      <c r="D322" s="75">
        <v>5.9362</v>
      </c>
      <c r="E322" s="75">
        <v>5.9368</v>
      </c>
      <c r="F322" s="71"/>
      <c r="G322" s="77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 ht="12.75" customHeight="1">
      <c r="A323" s="71"/>
      <c r="B323" s="74">
        <v>45756.0</v>
      </c>
      <c r="C323" s="75" t="s">
        <v>54</v>
      </c>
      <c r="D323" s="75">
        <v>6.0599</v>
      </c>
      <c r="E323" s="75">
        <v>6.0605</v>
      </c>
      <c r="F323" s="71"/>
      <c r="G323" s="77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 ht="12.75" customHeight="1">
      <c r="A324" s="71"/>
      <c r="B324" s="74">
        <v>45757.0</v>
      </c>
      <c r="C324" s="75" t="s">
        <v>54</v>
      </c>
      <c r="D324" s="75">
        <v>5.9109</v>
      </c>
      <c r="E324" s="75">
        <v>5.9115</v>
      </c>
      <c r="F324" s="71"/>
      <c r="G324" s="77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 ht="12.75" customHeight="1">
      <c r="A325" s="71"/>
      <c r="B325" s="74">
        <v>45758.0</v>
      </c>
      <c r="C325" s="75" t="s">
        <v>54</v>
      </c>
      <c r="D325" s="75">
        <v>5.8731</v>
      </c>
      <c r="E325" s="75">
        <v>5.8737</v>
      </c>
      <c r="F325" s="71"/>
      <c r="G325" s="77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 ht="12.75" customHeight="1">
      <c r="A326" s="71"/>
      <c r="B326" s="74">
        <v>45761.0</v>
      </c>
      <c r="C326" s="75" t="s">
        <v>54</v>
      </c>
      <c r="D326" s="75">
        <v>5.8419</v>
      </c>
      <c r="E326" s="75">
        <v>5.8425</v>
      </c>
      <c r="F326" s="71"/>
      <c r="G326" s="77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 ht="12.75" customHeight="1">
      <c r="A327" s="71"/>
      <c r="B327" s="74">
        <v>45762.0</v>
      </c>
      <c r="C327" s="75" t="s">
        <v>54</v>
      </c>
      <c r="D327" s="75">
        <v>5.8701</v>
      </c>
      <c r="E327" s="75">
        <v>5.8707</v>
      </c>
      <c r="F327" s="71"/>
      <c r="G327" s="77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 ht="12.75" customHeight="1">
      <c r="A328" s="71"/>
      <c r="B328" s="74">
        <v>45763.0</v>
      </c>
      <c r="C328" s="75" t="s">
        <v>54</v>
      </c>
      <c r="D328" s="75">
        <v>5.8802</v>
      </c>
      <c r="E328" s="75">
        <v>5.8808</v>
      </c>
      <c r="F328" s="71"/>
      <c r="G328" s="77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 ht="12.75" customHeight="1">
      <c r="A329" s="71"/>
      <c r="B329" s="74">
        <v>45764.0</v>
      </c>
      <c r="C329" s="75" t="s">
        <v>54</v>
      </c>
      <c r="D329" s="75">
        <v>5.8553</v>
      </c>
      <c r="E329" s="75">
        <v>5.8559</v>
      </c>
      <c r="F329" s="71"/>
      <c r="G329" s="77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 ht="12.75" customHeight="1">
      <c r="A330" s="71"/>
      <c r="B330" s="74">
        <v>45769.0</v>
      </c>
      <c r="C330" s="75" t="s">
        <v>54</v>
      </c>
      <c r="D330" s="75">
        <v>5.749</v>
      </c>
      <c r="E330" s="75">
        <v>5.7496</v>
      </c>
      <c r="F330" s="71"/>
      <c r="G330" s="77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 ht="12.75" customHeight="1">
      <c r="A331" s="71"/>
      <c r="B331" s="74">
        <v>45770.0</v>
      </c>
      <c r="C331" s="75" t="s">
        <v>54</v>
      </c>
      <c r="D331" s="75">
        <v>5.6874</v>
      </c>
      <c r="E331" s="75">
        <v>5.688</v>
      </c>
      <c r="F331" s="71"/>
      <c r="G331" s="77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 ht="12.75" customHeight="1">
      <c r="A332" s="71"/>
      <c r="B332" s="74">
        <v>45771.0</v>
      </c>
      <c r="C332" s="75" t="s">
        <v>54</v>
      </c>
      <c r="D332" s="75">
        <v>5.6732</v>
      </c>
      <c r="E332" s="75">
        <v>5.6738</v>
      </c>
      <c r="F332" s="71"/>
      <c r="G332" s="77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 ht="12.75" customHeight="1">
      <c r="A333" s="71"/>
      <c r="B333" s="74">
        <v>45772.0</v>
      </c>
      <c r="C333" s="75" t="s">
        <v>54</v>
      </c>
      <c r="D333" s="75">
        <v>5.684</v>
      </c>
      <c r="E333" s="75">
        <v>5.6846</v>
      </c>
      <c r="F333" s="71"/>
      <c r="G333" s="77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 ht="12.75" customHeight="1">
      <c r="A334" s="71"/>
      <c r="B334" s="74">
        <v>45775.0</v>
      </c>
      <c r="C334" s="75" t="s">
        <v>54</v>
      </c>
      <c r="D334" s="75">
        <v>5.6675</v>
      </c>
      <c r="E334" s="75">
        <v>5.6681</v>
      </c>
      <c r="F334" s="71"/>
      <c r="G334" s="77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 ht="12.75" customHeight="1">
      <c r="A335" s="71"/>
      <c r="B335" s="74">
        <v>45776.0</v>
      </c>
      <c r="C335" s="75" t="s">
        <v>54</v>
      </c>
      <c r="D335" s="75">
        <v>5.6461</v>
      </c>
      <c r="E335" s="75">
        <v>5.6467</v>
      </c>
      <c r="F335" s="71"/>
      <c r="G335" s="77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 ht="12.75" customHeight="1">
      <c r="A336" s="71"/>
      <c r="B336" s="74">
        <v>45777.0</v>
      </c>
      <c r="C336" s="75" t="s">
        <v>54</v>
      </c>
      <c r="D336" s="75">
        <v>5.6602</v>
      </c>
      <c r="E336" s="75">
        <v>5.6608</v>
      </c>
      <c r="F336" s="71"/>
      <c r="G336" s="77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 ht="12.75" customHeight="1">
      <c r="A337" s="71"/>
      <c r="B337" s="74">
        <v>45779.0</v>
      </c>
      <c r="C337" s="75" t="s">
        <v>54</v>
      </c>
      <c r="D337" s="75">
        <v>5.6388</v>
      </c>
      <c r="E337" s="75">
        <v>5.6394</v>
      </c>
      <c r="F337" s="71"/>
      <c r="G337" s="77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 ht="12.75" customHeight="1">
      <c r="A338" s="71"/>
      <c r="B338" s="74">
        <v>45782.0</v>
      </c>
      <c r="C338" s="75" t="s">
        <v>54</v>
      </c>
      <c r="D338" s="75">
        <v>5.6514</v>
      </c>
      <c r="E338" s="75">
        <v>5.652</v>
      </c>
      <c r="F338" s="71"/>
      <c r="G338" s="77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 ht="12.75" customHeight="1">
      <c r="A339" s="71"/>
      <c r="B339" s="74">
        <v>45783.0</v>
      </c>
      <c r="C339" s="75" t="s">
        <v>54</v>
      </c>
      <c r="D339" s="75">
        <v>5.7204</v>
      </c>
      <c r="E339" s="75">
        <v>5.721</v>
      </c>
      <c r="F339" s="71"/>
      <c r="G339" s="77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 ht="12.75" customHeight="1">
      <c r="A340" s="71"/>
      <c r="B340" s="74">
        <v>45784.0</v>
      </c>
      <c r="C340" s="75" t="s">
        <v>54</v>
      </c>
      <c r="D340" s="75">
        <v>5.7368</v>
      </c>
      <c r="E340" s="75">
        <v>5.7375</v>
      </c>
      <c r="F340" s="71"/>
      <c r="G340" s="77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 ht="12.75" customHeight="1">
      <c r="A341" s="71"/>
      <c r="B341" s="74">
        <v>45785.0</v>
      </c>
      <c r="C341" s="75" t="s">
        <v>54</v>
      </c>
      <c r="D341" s="75">
        <v>5.6854</v>
      </c>
      <c r="E341" s="75">
        <v>5.686</v>
      </c>
      <c r="F341" s="71"/>
      <c r="G341" s="77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 ht="12.75" customHeight="1">
      <c r="A342" s="71"/>
      <c r="B342" s="74">
        <v>45786.0</v>
      </c>
      <c r="C342" s="75" t="s">
        <v>54</v>
      </c>
      <c r="D342" s="75">
        <v>5.6505</v>
      </c>
      <c r="E342" s="75">
        <v>5.6511</v>
      </c>
      <c r="F342" s="71"/>
      <c r="G342" s="77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 ht="12.75" customHeight="1">
      <c r="A343" s="71"/>
      <c r="B343" s="74">
        <v>45789.0</v>
      </c>
      <c r="C343" s="75" t="s">
        <v>54</v>
      </c>
      <c r="D343" s="75">
        <v>5.6816</v>
      </c>
      <c r="E343" s="75">
        <v>5.6822</v>
      </c>
      <c r="F343" s="71"/>
      <c r="G343" s="77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 ht="12.75" customHeight="1">
      <c r="A344" s="71"/>
      <c r="B344" s="74">
        <v>45790.0</v>
      </c>
      <c r="C344" s="75" t="s">
        <v>54</v>
      </c>
      <c r="D344" s="75">
        <v>5.6256</v>
      </c>
      <c r="E344" s="75">
        <v>5.6262</v>
      </c>
      <c r="F344" s="71"/>
      <c r="G344" s="77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 ht="12.75" customHeight="1">
      <c r="A345" s="71"/>
      <c r="B345" s="74">
        <v>45791.0</v>
      </c>
      <c r="C345" s="75" t="s">
        <v>54</v>
      </c>
      <c r="D345" s="75">
        <v>5.6094</v>
      </c>
      <c r="E345" s="75">
        <v>5.61</v>
      </c>
      <c r="F345" s="71"/>
      <c r="G345" s="77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 ht="12.75" customHeight="1">
      <c r="A346" s="71"/>
      <c r="B346" s="74">
        <v>45792.0</v>
      </c>
      <c r="C346" s="75" t="s">
        <v>54</v>
      </c>
      <c r="D346" s="75">
        <v>5.6322</v>
      </c>
      <c r="E346" s="75">
        <v>5.6328</v>
      </c>
      <c r="F346" s="71"/>
      <c r="G346" s="77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 ht="12.75" customHeight="1">
      <c r="A347" s="71"/>
      <c r="B347" s="74">
        <v>45793.0</v>
      </c>
      <c r="C347" s="75" t="s">
        <v>54</v>
      </c>
      <c r="D347" s="75">
        <v>5.6919</v>
      </c>
      <c r="E347" s="75">
        <v>5.6925</v>
      </c>
      <c r="F347" s="71"/>
      <c r="G347" s="77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 ht="12.75" customHeight="1">
      <c r="A348" s="71"/>
      <c r="B348" s="74">
        <v>45796.0</v>
      </c>
      <c r="C348" s="75" t="s">
        <v>54</v>
      </c>
      <c r="D348" s="75">
        <v>5.6585</v>
      </c>
      <c r="E348" s="75">
        <v>5.6591</v>
      </c>
      <c r="F348" s="71"/>
      <c r="G348" s="77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 ht="12.75" customHeight="1">
      <c r="A349" s="71"/>
      <c r="B349" s="74">
        <v>45797.0</v>
      </c>
      <c r="C349" s="75" t="s">
        <v>54</v>
      </c>
      <c r="D349" s="75">
        <v>5.6614</v>
      </c>
      <c r="E349" s="75">
        <v>5.662</v>
      </c>
      <c r="F349" s="71"/>
      <c r="G349" s="77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 ht="12.75" customHeight="1">
      <c r="A350" s="71"/>
      <c r="B350" s="74">
        <v>45798.0</v>
      </c>
      <c r="C350" s="75" t="s">
        <v>54</v>
      </c>
      <c r="D350" s="75">
        <v>5.6565</v>
      </c>
      <c r="E350" s="75">
        <v>5.6571</v>
      </c>
      <c r="F350" s="71"/>
      <c r="G350" s="77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 ht="12.75" customHeight="1">
      <c r="A351" s="71"/>
      <c r="B351" s="74">
        <v>45799.0</v>
      </c>
      <c r="C351" s="75" t="s">
        <v>54</v>
      </c>
      <c r="D351" s="75">
        <v>5.6384</v>
      </c>
      <c r="E351" s="75">
        <v>5.639</v>
      </c>
      <c r="F351" s="71"/>
      <c r="G351" s="77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 ht="12.75" customHeight="1">
      <c r="A352" s="71"/>
      <c r="B352" s="74">
        <v>45800.0</v>
      </c>
      <c r="C352" s="75" t="s">
        <v>54</v>
      </c>
      <c r="D352" s="75">
        <v>5.6926</v>
      </c>
      <c r="E352" s="75">
        <v>5.6932</v>
      </c>
      <c r="F352" s="71"/>
      <c r="G352" s="77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 ht="12.75" customHeight="1">
      <c r="A353" s="71"/>
      <c r="B353" s="74">
        <v>45803.0</v>
      </c>
      <c r="C353" s="75" t="s">
        <v>54</v>
      </c>
      <c r="D353" s="75">
        <v>5.6613</v>
      </c>
      <c r="E353" s="75">
        <v>5.6619</v>
      </c>
      <c r="F353" s="71"/>
      <c r="G353" s="77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 ht="12.75" customHeight="1">
      <c r="A354" s="71"/>
      <c r="B354" s="74">
        <v>45804.0</v>
      </c>
      <c r="C354" s="75" t="s">
        <v>54</v>
      </c>
      <c r="D354" s="75">
        <v>5.6533</v>
      </c>
      <c r="E354" s="75">
        <v>5.6539</v>
      </c>
      <c r="F354" s="71"/>
      <c r="G354" s="77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 ht="12.75" customHeight="1">
      <c r="A355" s="71"/>
      <c r="B355" s="74">
        <v>45805.0</v>
      </c>
      <c r="C355" s="75" t="s">
        <v>54</v>
      </c>
      <c r="D355" s="75">
        <v>5.693</v>
      </c>
      <c r="E355" s="75">
        <v>5.6936</v>
      </c>
      <c r="F355" s="71"/>
      <c r="G355" s="77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 ht="12.75" customHeight="1">
      <c r="A356" s="71"/>
      <c r="B356" s="74">
        <v>45806.0</v>
      </c>
      <c r="C356" s="75" t="s">
        <v>54</v>
      </c>
      <c r="D356" s="75">
        <v>5.6553</v>
      </c>
      <c r="E356" s="75">
        <v>5.6559</v>
      </c>
      <c r="F356" s="71"/>
      <c r="G356" s="77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 ht="12.75" customHeight="1">
      <c r="A357" s="71"/>
      <c r="B357" s="74">
        <v>45807.0</v>
      </c>
      <c r="C357" s="75" t="s">
        <v>54</v>
      </c>
      <c r="D357" s="75">
        <v>5.7081</v>
      </c>
      <c r="E357" s="75">
        <v>5.7087</v>
      </c>
      <c r="F357" s="71"/>
      <c r="G357" s="77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 ht="12.75" customHeight="1">
      <c r="A358" s="71"/>
      <c r="B358" s="74">
        <v>45810.0</v>
      </c>
      <c r="C358" s="75" t="s">
        <v>54</v>
      </c>
      <c r="D358" s="75">
        <v>5.6931</v>
      </c>
      <c r="E358" s="75">
        <v>5.6937</v>
      </c>
      <c r="F358" s="71"/>
      <c r="G358" s="77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 ht="12.75" customHeight="1">
      <c r="A359" s="71"/>
      <c r="B359" s="74">
        <v>45811.0</v>
      </c>
      <c r="C359" s="75" t="s">
        <v>54</v>
      </c>
      <c r="D359" s="75">
        <v>5.6688</v>
      </c>
      <c r="E359" s="75">
        <v>5.6694</v>
      </c>
      <c r="F359" s="71"/>
      <c r="G359" s="77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 ht="12.75" customHeight="1">
      <c r="A360" s="71"/>
      <c r="B360" s="74">
        <v>45812.0</v>
      </c>
      <c r="C360" s="75" t="s">
        <v>54</v>
      </c>
      <c r="D360" s="75">
        <v>5.6326</v>
      </c>
      <c r="E360" s="75">
        <v>5.6332</v>
      </c>
      <c r="F360" s="71"/>
      <c r="G360" s="77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 ht="12.75" customHeight="1">
      <c r="A361" s="71"/>
      <c r="B361" s="74">
        <v>45813.0</v>
      </c>
      <c r="C361" s="75" t="s">
        <v>54</v>
      </c>
      <c r="D361" s="75">
        <v>5.5963</v>
      </c>
      <c r="E361" s="75">
        <v>5.5969</v>
      </c>
      <c r="F361" s="71"/>
      <c r="G361" s="77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 ht="12.75" customHeight="1">
      <c r="A362" s="71"/>
      <c r="B362" s="74">
        <v>45814.0</v>
      </c>
      <c r="C362" s="75" t="s">
        <v>54</v>
      </c>
      <c r="D362" s="75">
        <v>5.5941</v>
      </c>
      <c r="E362" s="75">
        <v>5.5947</v>
      </c>
      <c r="F362" s="71"/>
      <c r="G362" s="77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 ht="12.75" customHeight="1">
      <c r="A363" s="71"/>
      <c r="B363" s="74">
        <v>45817.0</v>
      </c>
      <c r="C363" s="75" t="s">
        <v>54</v>
      </c>
      <c r="D363" s="75">
        <v>5.5754</v>
      </c>
      <c r="E363" s="75">
        <v>5.576</v>
      </c>
      <c r="F363" s="71"/>
      <c r="G363" s="77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 ht="12.75" customHeight="1">
      <c r="A364" s="71"/>
      <c r="B364" s="74">
        <v>45818.0</v>
      </c>
      <c r="C364" s="75" t="s">
        <v>54</v>
      </c>
      <c r="D364" s="75">
        <v>5.5551</v>
      </c>
      <c r="E364" s="75">
        <v>5.5557</v>
      </c>
      <c r="F364" s="71"/>
      <c r="G364" s="77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 ht="12.75" customHeight="1">
      <c r="A365" s="71"/>
      <c r="B365" s="74">
        <v>45819.0</v>
      </c>
      <c r="C365" s="75" t="s">
        <v>54</v>
      </c>
      <c r="D365" s="75">
        <v>5.5384</v>
      </c>
      <c r="E365" s="75">
        <v>5.539</v>
      </c>
      <c r="F365" s="71"/>
      <c r="G365" s="77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 ht="12.75" customHeight="1">
      <c r="A366" s="71"/>
      <c r="B366" s="74">
        <v>45820.0</v>
      </c>
      <c r="C366" s="75" t="s">
        <v>54</v>
      </c>
      <c r="D366" s="75">
        <v>5.5382</v>
      </c>
      <c r="E366" s="75">
        <v>5.5388</v>
      </c>
      <c r="F366" s="71"/>
      <c r="G366" s="77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 ht="12.75" customHeight="1">
      <c r="A367" s="71"/>
      <c r="B367" s="74">
        <v>45821.0</v>
      </c>
      <c r="C367" s="75" t="s">
        <v>54</v>
      </c>
      <c r="D367" s="75">
        <v>5.5646</v>
      </c>
      <c r="E367" s="75">
        <v>5.5652</v>
      </c>
      <c r="F367" s="71"/>
      <c r="G367" s="77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 ht="12.75" customHeight="1">
      <c r="A368" s="71"/>
      <c r="B368" s="74">
        <v>45824.0</v>
      </c>
      <c r="C368" s="75" t="s">
        <v>54</v>
      </c>
      <c r="D368" s="75">
        <v>5.5117</v>
      </c>
      <c r="E368" s="75">
        <v>5.5123</v>
      </c>
      <c r="F368" s="71"/>
      <c r="G368" s="77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 ht="12.75" customHeight="1">
      <c r="A369" s="71"/>
      <c r="B369" s="74">
        <v>45825.0</v>
      </c>
      <c r="C369" s="75" t="s">
        <v>54</v>
      </c>
      <c r="D369" s="75">
        <v>5.4767</v>
      </c>
      <c r="E369" s="75">
        <v>5.4773</v>
      </c>
      <c r="F369" s="71"/>
      <c r="G369" s="77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 ht="12.75" customHeight="1">
      <c r="A370" s="71"/>
      <c r="B370" s="74">
        <v>45826.0</v>
      </c>
      <c r="C370" s="75" t="s">
        <v>54</v>
      </c>
      <c r="D370" s="75">
        <v>5.4873</v>
      </c>
      <c r="E370" s="75">
        <v>5.4879</v>
      </c>
      <c r="F370" s="71"/>
      <c r="G370" s="77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 ht="12.75" customHeight="1">
      <c r="A371" s="71"/>
      <c r="B371" s="74">
        <v>45828.0</v>
      </c>
      <c r="C371" s="75" t="s">
        <v>54</v>
      </c>
      <c r="D371" s="75">
        <v>5.4951</v>
      </c>
      <c r="E371" s="75">
        <v>5.4957</v>
      </c>
      <c r="F371" s="71"/>
      <c r="G371" s="77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 ht="12.75" customHeight="1">
      <c r="A372" s="71"/>
      <c r="B372" s="74">
        <v>45831.0</v>
      </c>
      <c r="C372" s="75" t="s">
        <v>54</v>
      </c>
      <c r="D372" s="75">
        <v>5.5207</v>
      </c>
      <c r="E372" s="75">
        <v>5.5213</v>
      </c>
      <c r="F372" s="71"/>
      <c r="G372" s="77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 ht="12.75" customHeight="1">
      <c r="A373" s="71"/>
      <c r="B373" s="74">
        <v>45832.0</v>
      </c>
      <c r="C373" s="75" t="s">
        <v>54</v>
      </c>
      <c r="D373" s="75">
        <v>5.4932</v>
      </c>
      <c r="E373" s="75">
        <v>5.4938</v>
      </c>
      <c r="F373" s="71"/>
      <c r="G373" s="77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 ht="12.75" customHeight="1">
      <c r="A374" s="71"/>
      <c r="B374" s="74">
        <v>45833.0</v>
      </c>
      <c r="C374" s="75" t="s">
        <v>54</v>
      </c>
      <c r="D374" s="75">
        <v>5.5421</v>
      </c>
      <c r="E374" s="75">
        <v>5.5427</v>
      </c>
      <c r="F374" s="71"/>
      <c r="G374" s="77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 ht="12.75" customHeight="1">
      <c r="A375" s="71"/>
      <c r="B375" s="74">
        <v>45834.0</v>
      </c>
      <c r="C375" s="75" t="s">
        <v>54</v>
      </c>
      <c r="D375" s="75">
        <v>5.5139</v>
      </c>
      <c r="E375" s="75">
        <v>5.5145</v>
      </c>
      <c r="F375" s="71"/>
      <c r="G375" s="77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 ht="12.75" customHeight="1">
      <c r="A376" s="71"/>
      <c r="B376" s="74">
        <v>45835.0</v>
      </c>
      <c r="C376" s="75" t="s">
        <v>54</v>
      </c>
      <c r="D376" s="75">
        <v>5.4753</v>
      </c>
      <c r="E376" s="75">
        <v>5.4759</v>
      </c>
      <c r="F376" s="71"/>
      <c r="G376" s="77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 ht="12.75" customHeight="1">
      <c r="A377" s="71"/>
      <c r="B377" s="74">
        <v>45838.0</v>
      </c>
      <c r="C377" s="75" t="s">
        <v>54</v>
      </c>
      <c r="D377" s="75">
        <v>5.4565</v>
      </c>
      <c r="E377" s="75">
        <v>5.4571</v>
      </c>
      <c r="F377" s="71"/>
      <c r="G377" s="77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 ht="12.75" customHeight="1">
      <c r="A378" s="71"/>
      <c r="B378" s="74">
        <v>45839.0</v>
      </c>
      <c r="C378" s="75" t="s">
        <v>54</v>
      </c>
      <c r="D378" s="75">
        <v>5.4505</v>
      </c>
      <c r="E378" s="75">
        <v>5.4511</v>
      </c>
      <c r="F378" s="71"/>
      <c r="G378" s="77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 ht="12.75" customHeight="1">
      <c r="A379" s="71"/>
      <c r="B379" s="74">
        <v>45840.0</v>
      </c>
      <c r="C379" s="75" t="s">
        <v>54</v>
      </c>
      <c r="D379" s="75">
        <v>5.4506</v>
      </c>
      <c r="E379" s="75">
        <v>5.4512</v>
      </c>
      <c r="F379" s="71"/>
      <c r="G379" s="77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 ht="12.75" customHeight="1">
      <c r="A380" s="71"/>
      <c r="B380" s="74">
        <v>45841.0</v>
      </c>
      <c r="C380" s="75" t="s">
        <v>54</v>
      </c>
      <c r="D380" s="75">
        <v>5.4202</v>
      </c>
      <c r="E380" s="75">
        <v>5.4208</v>
      </c>
      <c r="F380" s="71"/>
      <c r="G380" s="77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 ht="12.75" customHeight="1">
      <c r="A381" s="71"/>
      <c r="B381" s="74">
        <v>45842.0</v>
      </c>
      <c r="C381" s="75" t="s">
        <v>54</v>
      </c>
      <c r="D381" s="75">
        <v>5.4084</v>
      </c>
      <c r="E381" s="75">
        <v>5.409</v>
      </c>
      <c r="F381" s="71"/>
      <c r="G381" s="77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 ht="12.75" customHeight="1">
      <c r="A382" s="71"/>
      <c r="B382" s="74">
        <v>45845.0</v>
      </c>
      <c r="C382" s="75" t="s">
        <v>54</v>
      </c>
      <c r="D382" s="75">
        <v>5.4546</v>
      </c>
      <c r="E382" s="75">
        <v>5.4552</v>
      </c>
      <c r="F382" s="71"/>
      <c r="G382" s="77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 ht="12.75" customHeight="1">
      <c r="A383" s="71"/>
      <c r="B383" s="74">
        <v>45846.0</v>
      </c>
      <c r="C383" s="75" t="s">
        <v>54</v>
      </c>
      <c r="D383" s="75">
        <v>5.4565</v>
      </c>
      <c r="E383" s="75">
        <v>5.4571</v>
      </c>
      <c r="F383" s="71"/>
      <c r="G383" s="77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 ht="12.75" customHeight="1">
      <c r="A384" s="71"/>
      <c r="B384" s="74">
        <v>45847.0</v>
      </c>
      <c r="C384" s="75" t="s">
        <v>54</v>
      </c>
      <c r="D384" s="75">
        <v>5.462</v>
      </c>
      <c r="E384" s="75">
        <v>5.4626</v>
      </c>
      <c r="F384" s="71"/>
      <c r="G384" s="77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 ht="12.75" customHeight="1">
      <c r="A385" s="71"/>
      <c r="B385" s="74">
        <v>45848.0</v>
      </c>
      <c r="C385" s="75" t="s">
        <v>54</v>
      </c>
      <c r="D385" s="75">
        <v>5.5427</v>
      </c>
      <c r="E385" s="75">
        <v>5.5433</v>
      </c>
      <c r="F385" s="71"/>
      <c r="G385" s="77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 ht="12.75" customHeight="1">
      <c r="A386" s="71"/>
      <c r="B386" s="74">
        <v>45849.0</v>
      </c>
      <c r="C386" s="75" t="s">
        <v>54</v>
      </c>
      <c r="D386" s="75">
        <v>5.5716</v>
      </c>
      <c r="E386" s="75">
        <v>5.5722</v>
      </c>
      <c r="F386" s="71"/>
      <c r="G386" s="77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 ht="12.75" customHeight="1">
      <c r="A387" s="71"/>
      <c r="B387" s="74">
        <v>45852.0</v>
      </c>
      <c r="C387" s="75" t="s">
        <v>54</v>
      </c>
      <c r="D387" s="75">
        <v>5.5589</v>
      </c>
      <c r="E387" s="75">
        <v>5.5595</v>
      </c>
      <c r="F387" s="71"/>
      <c r="G387" s="77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 ht="12.75" customHeight="1">
      <c r="A388" s="71"/>
      <c r="B388" s="74">
        <v>45853.0</v>
      </c>
      <c r="C388" s="75" t="s">
        <v>54</v>
      </c>
      <c r="D388" s="75">
        <v>5.5569</v>
      </c>
      <c r="E388" s="75">
        <v>5.5576</v>
      </c>
      <c r="F388" s="71"/>
      <c r="G388" s="77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 ht="12.75" customHeight="1">
      <c r="A389" s="71"/>
      <c r="B389" s="74">
        <v>45854.0</v>
      </c>
      <c r="C389" s="75" t="s">
        <v>54</v>
      </c>
      <c r="D389" s="75">
        <v>5.5716</v>
      </c>
      <c r="E389" s="75">
        <v>5.5722</v>
      </c>
      <c r="F389" s="71"/>
      <c r="G389" s="77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 ht="12.75" customHeight="1">
      <c r="A390" s="71"/>
      <c r="B390" s="74">
        <v>45855.0</v>
      </c>
      <c r="C390" s="75" t="s">
        <v>54</v>
      </c>
      <c r="D390" s="75">
        <v>5.5731</v>
      </c>
      <c r="E390" s="75">
        <v>5.5737</v>
      </c>
      <c r="F390" s="71"/>
      <c r="G390" s="77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 ht="12.75" customHeight="1">
      <c r="A391" s="71"/>
      <c r="B391" s="74">
        <v>45856.0</v>
      </c>
      <c r="C391" s="75" t="s">
        <v>54</v>
      </c>
      <c r="D391" s="75">
        <v>5.546</v>
      </c>
      <c r="E391" s="75">
        <v>5.5466</v>
      </c>
      <c r="F391" s="71"/>
      <c r="G391" s="77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 ht="12.75" customHeight="1">
      <c r="A392" s="71"/>
      <c r="B392" s="74">
        <v>45859.0</v>
      </c>
      <c r="C392" s="75" t="s">
        <v>54</v>
      </c>
      <c r="D392" s="75">
        <v>5.5619</v>
      </c>
      <c r="E392" s="75">
        <v>5.5625</v>
      </c>
      <c r="F392" s="71"/>
      <c r="G392" s="77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 ht="12.75" customHeight="1">
      <c r="A393" s="71"/>
      <c r="B393" s="74">
        <v>45860.0</v>
      </c>
      <c r="C393" s="75" t="s">
        <v>54</v>
      </c>
      <c r="D393" s="75">
        <v>5.5703</v>
      </c>
      <c r="E393" s="75">
        <v>5.5709</v>
      </c>
      <c r="F393" s="71"/>
      <c r="G393" s="77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 ht="12.75" customHeight="1">
      <c r="A394" s="71"/>
      <c r="B394" s="74">
        <v>45861.0</v>
      </c>
      <c r="C394" s="75" t="s">
        <v>54</v>
      </c>
      <c r="D394" s="75">
        <v>5.5531</v>
      </c>
      <c r="E394" s="75">
        <v>5.5537</v>
      </c>
      <c r="F394" s="71"/>
      <c r="G394" s="77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 ht="12.75" customHeight="1">
      <c r="A395" s="71"/>
      <c r="B395" s="74">
        <v>45862.0</v>
      </c>
      <c r="C395" s="75" t="s">
        <v>54</v>
      </c>
      <c r="D395" s="75">
        <v>5.5233</v>
      </c>
      <c r="E395" s="75">
        <v>5.5239</v>
      </c>
      <c r="F395" s="71"/>
      <c r="G395" s="77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 ht="12.75" customHeight="1">
      <c r="A396" s="71"/>
      <c r="B396" s="74">
        <v>45863.0</v>
      </c>
      <c r="C396" s="75" t="s">
        <v>54</v>
      </c>
      <c r="D396" s="75">
        <v>5.542</v>
      </c>
      <c r="E396" s="75">
        <v>5.5426</v>
      </c>
      <c r="F396" s="71"/>
      <c r="G396" s="77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 ht="12.75" customHeight="1">
      <c r="A397" s="71"/>
      <c r="B397" s="74">
        <v>45866.0</v>
      </c>
      <c r="C397" s="75" t="s">
        <v>54</v>
      </c>
      <c r="D397" s="75">
        <v>5.5871</v>
      </c>
      <c r="E397" s="75">
        <v>5.5877</v>
      </c>
      <c r="F397" s="71"/>
      <c r="G397" s="77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 ht="12.75" customHeight="1">
      <c r="A398" s="71"/>
      <c r="B398" s="74">
        <v>45867.0</v>
      </c>
      <c r="C398" s="75" t="s">
        <v>54</v>
      </c>
      <c r="D398" s="75">
        <v>5.5758</v>
      </c>
      <c r="E398" s="75">
        <v>5.5764</v>
      </c>
      <c r="F398" s="71"/>
      <c r="G398" s="77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 ht="12.75" customHeight="1">
      <c r="A399" s="71"/>
      <c r="B399" s="74">
        <v>45868.0</v>
      </c>
      <c r="C399" s="75" t="s">
        <v>54</v>
      </c>
      <c r="D399" s="75">
        <v>5.6028</v>
      </c>
      <c r="E399" s="75">
        <v>5.6034</v>
      </c>
      <c r="F399" s="71"/>
      <c r="G399" s="77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 ht="12.75" customHeight="1">
      <c r="A400" s="71"/>
      <c r="B400" s="74">
        <v>45869.0</v>
      </c>
      <c r="C400" s="75" t="s">
        <v>54</v>
      </c>
      <c r="D400" s="75">
        <v>5.6015</v>
      </c>
      <c r="E400" s="75">
        <v>5.6021</v>
      </c>
      <c r="F400" s="71"/>
      <c r="G400" s="77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 ht="12.75" customHeight="1">
      <c r="A401" s="71"/>
      <c r="B401" s="74">
        <v>45870.0</v>
      </c>
      <c r="C401" s="75" t="s">
        <v>54</v>
      </c>
      <c r="D401" s="75">
        <v>5.543</v>
      </c>
      <c r="E401" s="75">
        <v>5.5436</v>
      </c>
      <c r="F401" s="71"/>
      <c r="G401" s="77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 ht="12.75" customHeight="1">
      <c r="A402" s="71"/>
      <c r="B402" s="74">
        <v>45873.0</v>
      </c>
      <c r="C402" s="75" t="s">
        <v>54</v>
      </c>
      <c r="D402" s="75">
        <v>5.5107</v>
      </c>
      <c r="E402" s="75">
        <v>5.5113</v>
      </c>
      <c r="F402" s="71"/>
      <c r="G402" s="77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 ht="12.75" customHeight="1">
      <c r="A403" s="71"/>
      <c r="B403" s="74">
        <v>45874.0</v>
      </c>
      <c r="C403" s="75" t="s">
        <v>54</v>
      </c>
      <c r="D403" s="75">
        <v>5.5113</v>
      </c>
      <c r="E403" s="75">
        <v>5.5119</v>
      </c>
      <c r="F403" s="71"/>
      <c r="G403" s="77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 ht="12.75" customHeight="1">
      <c r="A404" s="71"/>
      <c r="B404" s="74">
        <v>45875.0</v>
      </c>
      <c r="C404" s="75" t="s">
        <v>54</v>
      </c>
      <c r="D404" s="75">
        <v>5.4796</v>
      </c>
      <c r="E404" s="75">
        <v>5.4802</v>
      </c>
      <c r="F404" s="71"/>
      <c r="G404" s="77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 ht="12.75" customHeight="1">
      <c r="A405" s="71"/>
      <c r="B405" s="74">
        <v>45876.0</v>
      </c>
      <c r="C405" s="75" t="s">
        <v>54</v>
      </c>
      <c r="D405" s="75">
        <v>5.4632</v>
      </c>
      <c r="E405" s="75">
        <v>5.4638</v>
      </c>
      <c r="F405" s="71"/>
      <c r="G405" s="77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 ht="12.75" customHeight="1">
      <c r="A406" s="71"/>
      <c r="B406" s="74">
        <v>45877.0</v>
      </c>
      <c r="C406" s="75" t="s">
        <v>54</v>
      </c>
      <c r="D406" s="75">
        <v>5.4248</v>
      </c>
      <c r="E406" s="75">
        <v>5.4254</v>
      </c>
      <c r="F406" s="71"/>
      <c r="G406" s="77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 ht="12.75" customHeight="1">
      <c r="A407" s="71"/>
      <c r="B407" s="74">
        <v>45880.0</v>
      </c>
      <c r="C407" s="75" t="s">
        <v>54</v>
      </c>
      <c r="D407" s="75">
        <v>5.4467</v>
      </c>
      <c r="E407" s="75">
        <v>5.4473</v>
      </c>
      <c r="F407" s="71"/>
      <c r="G407" s="77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 ht="12.75" customHeight="1">
      <c r="A408" s="71"/>
      <c r="B408" s="74">
        <v>45881.0</v>
      </c>
      <c r="C408" s="75" t="s">
        <v>54</v>
      </c>
      <c r="D408" s="75">
        <v>5.4046</v>
      </c>
      <c r="E408" s="75">
        <v>5.4052</v>
      </c>
      <c r="F408" s="71"/>
      <c r="G408" s="77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 ht="12.75" customHeight="1">
      <c r="A409" s="71"/>
      <c r="B409" s="74">
        <v>45882.0</v>
      </c>
      <c r="C409" s="75" t="s">
        <v>54</v>
      </c>
      <c r="D409" s="75">
        <v>5.3922</v>
      </c>
      <c r="E409" s="75">
        <v>5.3928</v>
      </c>
      <c r="F409" s="71"/>
      <c r="G409" s="77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 ht="12.75" customHeight="1">
      <c r="A410" s="71"/>
      <c r="B410" s="74">
        <v>45883.0</v>
      </c>
      <c r="C410" s="75" t="s">
        <v>54</v>
      </c>
      <c r="D410" s="75">
        <v>5.4089</v>
      </c>
      <c r="E410" s="75">
        <v>5.4095</v>
      </c>
      <c r="F410" s="71"/>
      <c r="G410" s="77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 ht="12.75" customHeight="1">
      <c r="A411" s="71"/>
      <c r="B411" s="74">
        <v>45884.0</v>
      </c>
      <c r="C411" s="75" t="s">
        <v>54</v>
      </c>
      <c r="D411" s="75">
        <v>5.3922</v>
      </c>
      <c r="E411" s="75">
        <v>5.3928</v>
      </c>
      <c r="F411" s="71"/>
      <c r="G411" s="77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 ht="12.75" customHeight="1">
      <c r="A412" s="71"/>
      <c r="B412" s="74">
        <v>45887.0</v>
      </c>
      <c r="C412" s="75" t="s">
        <v>54</v>
      </c>
      <c r="D412" s="75">
        <v>5.4149</v>
      </c>
      <c r="E412" s="75">
        <v>5.4155</v>
      </c>
      <c r="F412" s="71"/>
      <c r="G412" s="77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 ht="12.75" customHeight="1">
      <c r="A413" s="71"/>
      <c r="B413" s="74">
        <v>45888.0</v>
      </c>
      <c r="C413" s="75" t="s">
        <v>54</v>
      </c>
      <c r="D413" s="75">
        <v>5.471</v>
      </c>
      <c r="E413" s="75">
        <v>5.4716</v>
      </c>
      <c r="F413" s="71"/>
      <c r="G413" s="77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 ht="12.75" customHeight="1">
      <c r="A414" s="71"/>
      <c r="B414" s="74">
        <v>45889.0</v>
      </c>
      <c r="C414" s="75" t="s">
        <v>54</v>
      </c>
      <c r="D414" s="75">
        <v>5.472</v>
      </c>
      <c r="E414" s="75">
        <v>5.4726</v>
      </c>
      <c r="F414" s="71"/>
      <c r="G414" s="77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 ht="12.75" customHeight="1">
      <c r="A415" s="71"/>
      <c r="B415" s="74">
        <v>45890.0</v>
      </c>
      <c r="C415" s="75" t="s">
        <v>54</v>
      </c>
      <c r="D415" s="75">
        <v>5.4822</v>
      </c>
      <c r="E415" s="75">
        <v>5.4828</v>
      </c>
      <c r="F415" s="71"/>
      <c r="G415" s="77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 ht="12.75" customHeight="1">
      <c r="A416" s="71"/>
      <c r="B416" s="74">
        <v>45891.0</v>
      </c>
      <c r="C416" s="75" t="s">
        <v>54</v>
      </c>
      <c r="D416" s="75">
        <v>5.4386</v>
      </c>
      <c r="E416" s="75">
        <v>5.4392</v>
      </c>
      <c r="F416" s="71"/>
      <c r="G416" s="77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 ht="12.75" customHeight="1">
      <c r="A417" s="71"/>
      <c r="B417" s="74">
        <v>45894.0</v>
      </c>
      <c r="C417" s="75" t="s">
        <v>54</v>
      </c>
      <c r="D417" s="75">
        <v>5.4168</v>
      </c>
      <c r="E417" s="75">
        <v>5.4174</v>
      </c>
      <c r="F417" s="71"/>
      <c r="G417" s="77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 ht="12.75" customHeight="1">
      <c r="A418" s="71"/>
      <c r="B418" s="74">
        <v>45895.0</v>
      </c>
      <c r="C418" s="75" t="s">
        <v>54</v>
      </c>
      <c r="D418" s="75">
        <v>5.4212</v>
      </c>
      <c r="E418" s="75">
        <v>5.4218</v>
      </c>
      <c r="F418" s="71"/>
      <c r="G418" s="77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 ht="12.75" customHeight="1">
      <c r="A419" s="71"/>
      <c r="B419" s="74">
        <v>45896.0</v>
      </c>
      <c r="C419" s="75" t="s">
        <v>54</v>
      </c>
      <c r="D419" s="75">
        <v>5.4422</v>
      </c>
      <c r="E419" s="75">
        <v>5.4428</v>
      </c>
      <c r="F419" s="71"/>
      <c r="G419" s="77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 ht="12.75" customHeight="1">
      <c r="A420" s="71"/>
      <c r="B420" s="74">
        <v>45897.0</v>
      </c>
      <c r="C420" s="75" t="s">
        <v>54</v>
      </c>
      <c r="D420" s="75">
        <v>5.4109</v>
      </c>
      <c r="E420" s="75">
        <v>5.4115</v>
      </c>
      <c r="F420" s="71"/>
      <c r="G420" s="77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 ht="12.75" customHeight="1">
      <c r="A421" s="71"/>
      <c r="B421" s="74">
        <v>45898.0</v>
      </c>
      <c r="C421" s="75" t="s">
        <v>54</v>
      </c>
      <c r="D421" s="75">
        <v>5.4258</v>
      </c>
      <c r="E421" s="75">
        <v>5.4264</v>
      </c>
      <c r="F421" s="71"/>
      <c r="G421" s="77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 ht="12.75" customHeight="1">
      <c r="A422" s="71"/>
      <c r="B422" s="74">
        <v>45901.0</v>
      </c>
      <c r="C422" s="75" t="s">
        <v>54</v>
      </c>
      <c r="D422" s="75">
        <v>5.4372</v>
      </c>
      <c r="E422" s="75">
        <v>5.4378</v>
      </c>
      <c r="F422" s="71"/>
      <c r="G422" s="77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 ht="12.75" customHeight="1">
      <c r="A423" s="71"/>
      <c r="B423" s="74">
        <v>45902.0</v>
      </c>
      <c r="C423" s="75" t="s">
        <v>54</v>
      </c>
      <c r="D423" s="75">
        <v>5.4674</v>
      </c>
      <c r="E423" s="75">
        <v>5.468</v>
      </c>
      <c r="F423" s="71"/>
      <c r="G423" s="77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 ht="12.75" customHeight="1">
      <c r="A424" s="71"/>
      <c r="B424" s="74">
        <v>45903.0</v>
      </c>
      <c r="C424" s="75" t="s">
        <v>54</v>
      </c>
      <c r="D424" s="75">
        <v>5.4479</v>
      </c>
      <c r="E424" s="75">
        <v>5.4485</v>
      </c>
      <c r="F424" s="71"/>
      <c r="G424" s="77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 ht="12.75" customHeight="1">
      <c r="A425" s="71"/>
      <c r="B425" s="74">
        <v>45904.0</v>
      </c>
      <c r="C425" s="75" t="s">
        <v>54</v>
      </c>
      <c r="D425" s="75">
        <v>5.4581</v>
      </c>
      <c r="E425" s="75">
        <v>5.4587</v>
      </c>
      <c r="F425" s="71"/>
      <c r="G425" s="77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 ht="12.75" customHeight="1">
      <c r="A426" s="71"/>
      <c r="B426" s="74">
        <v>45905.0</v>
      </c>
      <c r="C426" s="75" t="s">
        <v>54</v>
      </c>
      <c r="D426" s="75">
        <v>5.3962</v>
      </c>
      <c r="E426" s="75">
        <v>5.3968</v>
      </c>
      <c r="F426" s="71"/>
      <c r="G426" s="77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 ht="12.75" customHeight="1">
      <c r="A427" s="71"/>
      <c r="B427" s="74">
        <v>45908.0</v>
      </c>
      <c r="C427" s="75" t="s">
        <v>54</v>
      </c>
      <c r="D427" s="75">
        <v>5.4272</v>
      </c>
      <c r="E427" s="75">
        <v>5.4278</v>
      </c>
      <c r="F427" s="71"/>
      <c r="G427" s="77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 ht="12.75" customHeight="1">
      <c r="A428" s="71"/>
      <c r="B428" s="74">
        <v>45909.0</v>
      </c>
      <c r="C428" s="75" t="s">
        <v>54</v>
      </c>
      <c r="D428" s="75">
        <v>5.4272</v>
      </c>
      <c r="E428" s="75">
        <v>5.4278</v>
      </c>
      <c r="F428" s="71"/>
      <c r="G428" s="77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 ht="12.75" customHeight="1">
      <c r="A429" s="71"/>
      <c r="B429" s="74">
        <v>45910.0</v>
      </c>
      <c r="C429" s="75" t="s">
        <v>54</v>
      </c>
      <c r="D429" s="75">
        <v>5.4117</v>
      </c>
      <c r="E429" s="75">
        <v>5.4123</v>
      </c>
      <c r="F429" s="71"/>
      <c r="G429" s="77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 ht="12.75" customHeight="1">
      <c r="A430" s="71"/>
      <c r="B430" s="74">
        <v>45911.0</v>
      </c>
      <c r="C430" s="75" t="s">
        <v>54</v>
      </c>
      <c r="D430" s="75">
        <v>5.3852</v>
      </c>
      <c r="E430" s="75">
        <v>5.3858</v>
      </c>
      <c r="F430" s="71"/>
      <c r="G430" s="77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 ht="12.75" customHeight="1">
      <c r="A431" s="71"/>
      <c r="B431" s="74">
        <v>45912.0</v>
      </c>
      <c r="C431" s="75" t="s">
        <v>54</v>
      </c>
      <c r="D431" s="75">
        <v>5.3671</v>
      </c>
      <c r="E431" s="75">
        <v>5.3677</v>
      </c>
      <c r="F431" s="71"/>
      <c r="G431" s="77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 ht="12.75" customHeight="1">
      <c r="A432" s="71"/>
      <c r="B432" s="74">
        <v>45915.0</v>
      </c>
      <c r="C432" s="75" t="s">
        <v>54</v>
      </c>
      <c r="D432" s="75">
        <v>5.3202</v>
      </c>
      <c r="E432" s="75">
        <v>5.3208</v>
      </c>
      <c r="F432" s="71"/>
      <c r="G432" s="77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 ht="12.75" customHeight="1">
      <c r="A433" s="71"/>
      <c r="B433" s="74">
        <v>45916.0</v>
      </c>
      <c r="C433" s="75" t="s">
        <v>54</v>
      </c>
      <c r="D433" s="75">
        <v>5.309</v>
      </c>
      <c r="E433" s="75">
        <v>5.3096</v>
      </c>
      <c r="F433" s="71"/>
      <c r="G433" s="77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 ht="12.75" customHeight="1">
      <c r="A434" s="71"/>
      <c r="B434" s="74">
        <v>45917.0</v>
      </c>
      <c r="C434" s="75" t="s">
        <v>54</v>
      </c>
      <c r="D434" s="75">
        <v>5.3005</v>
      </c>
      <c r="E434" s="75">
        <v>5.3011</v>
      </c>
      <c r="F434" s="71"/>
      <c r="G434" s="77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 ht="12.75" customHeight="1">
      <c r="A435" s="71"/>
      <c r="B435" s="74">
        <v>45918.0</v>
      </c>
      <c r="C435" s="75" t="s">
        <v>54</v>
      </c>
      <c r="D435" s="75">
        <v>5.3004</v>
      </c>
      <c r="E435" s="75">
        <v>5.301</v>
      </c>
      <c r="F435" s="71"/>
      <c r="G435" s="77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 ht="12.75" customHeight="1">
      <c r="A436" s="71"/>
      <c r="B436" s="74">
        <v>45919.0</v>
      </c>
      <c r="C436" s="75" t="s">
        <v>54</v>
      </c>
      <c r="D436" s="75">
        <v>5.327</v>
      </c>
      <c r="E436" s="75">
        <v>5.3276</v>
      </c>
      <c r="F436" s="71"/>
      <c r="G436" s="77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 ht="12.75" customHeight="1">
      <c r="A437" s="71"/>
      <c r="B437" s="74">
        <v>45922.0</v>
      </c>
      <c r="C437" s="75" t="s">
        <v>54</v>
      </c>
      <c r="D437" s="75">
        <v>5.3451</v>
      </c>
      <c r="E437" s="75">
        <v>5.3457</v>
      </c>
      <c r="F437" s="71"/>
      <c r="G437" s="77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 ht="12.75" customHeight="1">
      <c r="A438" s="71"/>
      <c r="B438" s="74">
        <v>45923.0</v>
      </c>
      <c r="C438" s="75" t="s">
        <v>54</v>
      </c>
      <c r="D438" s="75">
        <v>5.3057</v>
      </c>
      <c r="E438" s="75">
        <v>5.3063</v>
      </c>
      <c r="F438" s="71"/>
      <c r="G438" s="77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 ht="12.75" customHeight="1">
      <c r="A439" s="71"/>
      <c r="B439" s="74">
        <v>45924.0</v>
      </c>
      <c r="C439" s="75" t="s">
        <v>54</v>
      </c>
      <c r="D439" s="75">
        <v>5.3106</v>
      </c>
      <c r="E439" s="75">
        <v>5.3112</v>
      </c>
      <c r="F439" s="71"/>
      <c r="G439" s="77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 ht="12.75" customHeight="1">
      <c r="A440" s="71"/>
      <c r="B440" s="74">
        <v>45925.0</v>
      </c>
      <c r="C440" s="75" t="s">
        <v>54</v>
      </c>
      <c r="D440" s="75">
        <v>5.3419</v>
      </c>
      <c r="E440" s="75">
        <v>5.3425</v>
      </c>
      <c r="F440" s="71"/>
      <c r="G440" s="77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 ht="12.75" customHeight="1">
      <c r="A441" s="71"/>
      <c r="B441" s="74">
        <v>45926.0</v>
      </c>
      <c r="C441" s="75" t="s">
        <v>54</v>
      </c>
      <c r="D441" s="75">
        <v>5.3439</v>
      </c>
      <c r="E441" s="75">
        <v>5.3445</v>
      </c>
      <c r="F441" s="71"/>
      <c r="G441" s="77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 ht="12.75" customHeight="1">
      <c r="A442" s="71"/>
      <c r="B442" s="74">
        <v>45929.0</v>
      </c>
      <c r="C442" s="75" t="s">
        <v>54</v>
      </c>
      <c r="D442" s="75">
        <v>5.3223</v>
      </c>
      <c r="E442" s="75">
        <v>5.3229</v>
      </c>
      <c r="F442" s="71"/>
      <c r="G442" s="77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 ht="12.75" customHeight="1">
      <c r="A443" s="71"/>
      <c r="B443" s="74">
        <v>45930.0</v>
      </c>
      <c r="C443" s="75" t="s">
        <v>54</v>
      </c>
      <c r="D443" s="75">
        <v>5.318</v>
      </c>
      <c r="E443" s="75">
        <v>5.3186</v>
      </c>
      <c r="F443" s="71"/>
      <c r="G443" s="77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 ht="12.75" customHeight="1">
      <c r="A444" s="71"/>
      <c r="B444" s="74">
        <v>45931.0</v>
      </c>
      <c r="C444" s="75" t="s">
        <v>54</v>
      </c>
      <c r="D444" s="75">
        <v>5.3202</v>
      </c>
      <c r="E444" s="75">
        <v>5.3208</v>
      </c>
      <c r="F444" s="71"/>
      <c r="G444" s="77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 ht="12.75" customHeight="1">
      <c r="A445" s="71"/>
      <c r="B445" s="74">
        <v>45932.0</v>
      </c>
      <c r="C445" s="75" t="s">
        <v>54</v>
      </c>
      <c r="D445" s="75">
        <v>5.3443</v>
      </c>
      <c r="E445" s="75">
        <v>5.3449</v>
      </c>
      <c r="F445" s="71"/>
      <c r="G445" s="77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 ht="12.75" customHeight="1">
      <c r="A446" s="71"/>
      <c r="B446" s="74">
        <v>45933.0</v>
      </c>
      <c r="C446" s="75" t="s">
        <v>54</v>
      </c>
      <c r="D446" s="75">
        <v>5.3492</v>
      </c>
      <c r="E446" s="75">
        <v>5.3498</v>
      </c>
      <c r="F446" s="71"/>
      <c r="G446" s="77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 ht="12.75" customHeight="1">
      <c r="A447" s="71"/>
      <c r="B447" s="74">
        <v>45936.0</v>
      </c>
      <c r="C447" s="75" t="s">
        <v>54</v>
      </c>
      <c r="D447" s="75">
        <v>5.322</v>
      </c>
      <c r="E447" s="75">
        <v>5.3226</v>
      </c>
      <c r="F447" s="71"/>
      <c r="G447" s="77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 ht="12.75" customHeight="1">
      <c r="A448" s="71"/>
      <c r="B448" s="74">
        <v>45937.0</v>
      </c>
      <c r="C448" s="75" t="s">
        <v>54</v>
      </c>
      <c r="D448" s="75">
        <v>5.3357</v>
      </c>
      <c r="E448" s="75">
        <v>5.3363</v>
      </c>
      <c r="F448" s="71"/>
      <c r="G448" s="77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 ht="12.75" customHeight="1">
      <c r="A449" s="71"/>
      <c r="B449" s="74">
        <v>45938.0</v>
      </c>
      <c r="C449" s="75" t="s">
        <v>54</v>
      </c>
      <c r="D449" s="75">
        <v>5.3421</v>
      </c>
      <c r="E449" s="75">
        <v>5.3427</v>
      </c>
      <c r="F449" s="71"/>
      <c r="G449" s="77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 ht="12.75" customHeight="1">
      <c r="A450" s="71"/>
      <c r="B450" s="74">
        <v>45939.0</v>
      </c>
      <c r="C450" s="75" t="s">
        <v>54</v>
      </c>
      <c r="D450" s="75">
        <v>5.3532</v>
      </c>
      <c r="E450" s="75">
        <v>5.3538</v>
      </c>
      <c r="F450" s="71"/>
      <c r="G450" s="77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 ht="12.75" customHeight="1">
      <c r="A451" s="71"/>
      <c r="B451" s="74">
        <v>45940.0</v>
      </c>
      <c r="C451" s="75" t="s">
        <v>54</v>
      </c>
      <c r="D451" s="75">
        <v>5.444</v>
      </c>
      <c r="E451" s="75">
        <v>5.4446</v>
      </c>
      <c r="F451" s="71"/>
      <c r="G451" s="77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 ht="12.75" customHeight="1">
      <c r="A452" s="71"/>
      <c r="B452" s="74">
        <v>45943.0</v>
      </c>
      <c r="C452" s="75" t="s">
        <v>54</v>
      </c>
      <c r="D452" s="75">
        <v>5.4623</v>
      </c>
      <c r="E452" s="75">
        <v>5.4629</v>
      </c>
      <c r="F452" s="71"/>
      <c r="G452" s="77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 ht="12.75" customHeight="1">
      <c r="A453" s="71"/>
      <c r="B453" s="74">
        <v>45944.0</v>
      </c>
      <c r="C453" s="75" t="s">
        <v>54</v>
      </c>
      <c r="D453" s="75">
        <v>5.4976</v>
      </c>
      <c r="E453" s="75">
        <v>5.4982</v>
      </c>
      <c r="F453" s="71"/>
      <c r="G453" s="77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 ht="12.75" customHeight="1">
      <c r="A454" s="71"/>
      <c r="B454" s="74">
        <v>45945.0</v>
      </c>
      <c r="C454" s="75" t="s">
        <v>54</v>
      </c>
      <c r="D454" s="75">
        <v>5.4458</v>
      </c>
      <c r="E454" s="75">
        <v>5.4464</v>
      </c>
      <c r="F454" s="71"/>
      <c r="G454" s="77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 ht="12.75" customHeight="1">
      <c r="A455" s="71"/>
      <c r="B455" s="74">
        <v>45946.0</v>
      </c>
      <c r="C455" s="75" t="s">
        <v>54</v>
      </c>
      <c r="D455" s="75">
        <v>5.4348</v>
      </c>
      <c r="E455" s="75">
        <v>5.4354</v>
      </c>
      <c r="F455" s="71"/>
      <c r="G455" s="77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 ht="12.75" customHeight="1">
      <c r="A456" s="71"/>
      <c r="B456" s="74">
        <v>45947.0</v>
      </c>
      <c r="C456" s="75" t="s">
        <v>54</v>
      </c>
      <c r="D456" s="75">
        <v>5.4384</v>
      </c>
      <c r="E456" s="75">
        <v>5.439</v>
      </c>
      <c r="F456" s="71"/>
      <c r="G456" s="77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 ht="12.75" customHeight="1">
      <c r="A457" s="71"/>
      <c r="B457" s="74">
        <v>45950.0</v>
      </c>
      <c r="C457" s="75" t="s">
        <v>54</v>
      </c>
      <c r="D457" s="75">
        <v>5.3765</v>
      </c>
      <c r="E457" s="75">
        <v>5.3771</v>
      </c>
      <c r="F457" s="71"/>
      <c r="G457" s="77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 ht="12.75" customHeight="1">
      <c r="A458" s="71"/>
      <c r="B458" s="74">
        <v>45951.0</v>
      </c>
      <c r="C458" s="75" t="s">
        <v>54</v>
      </c>
      <c r="D458" s="75">
        <v>5.3842</v>
      </c>
      <c r="E458" s="75">
        <v>5.3848</v>
      </c>
      <c r="F458" s="71"/>
      <c r="G458" s="77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 ht="12.75" customHeight="1">
      <c r="A459" s="71"/>
      <c r="B459" s="74">
        <v>45952.0</v>
      </c>
      <c r="C459" s="75" t="s">
        <v>54</v>
      </c>
      <c r="D459" s="75">
        <v>5.3892</v>
      </c>
      <c r="E459" s="75">
        <v>5.3898</v>
      </c>
      <c r="F459" s="71"/>
      <c r="G459" s="77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 ht="12.75" customHeight="1">
      <c r="A460" s="71"/>
      <c r="B460" s="74">
        <v>45953.0</v>
      </c>
      <c r="C460" s="75" t="s">
        <v>54</v>
      </c>
      <c r="D460" s="75">
        <v>5.3834</v>
      </c>
      <c r="E460" s="75">
        <v>5.384</v>
      </c>
      <c r="F460" s="71"/>
      <c r="G460" s="77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 ht="12.75" customHeight="1">
      <c r="A461" s="71"/>
      <c r="B461" s="74">
        <v>45954.0</v>
      </c>
      <c r="C461" s="75" t="s">
        <v>54</v>
      </c>
      <c r="D461" s="75">
        <v>5.3791</v>
      </c>
      <c r="E461" s="75">
        <v>5.3797</v>
      </c>
      <c r="F461" s="71"/>
      <c r="G461" s="77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 ht="12.75" customHeight="1">
      <c r="A462" s="71"/>
      <c r="B462" s="74">
        <v>45957.0</v>
      </c>
      <c r="C462" s="75" t="s">
        <v>54</v>
      </c>
      <c r="D462" s="75">
        <v>5.3738</v>
      </c>
      <c r="E462" s="75">
        <v>5.3744</v>
      </c>
      <c r="F462" s="71"/>
      <c r="G462" s="77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 ht="12.75" customHeight="1">
      <c r="A463" s="71"/>
      <c r="B463" s="74">
        <v>45958.0</v>
      </c>
      <c r="C463" s="75" t="s">
        <v>54</v>
      </c>
      <c r="D463" s="75">
        <v>5.3684</v>
      </c>
      <c r="E463" s="75">
        <v>5.369</v>
      </c>
      <c r="F463" s="71"/>
      <c r="G463" s="77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 ht="12.75" customHeight="1">
      <c r="A464" s="71"/>
      <c r="B464" s="74">
        <v>45959.0</v>
      </c>
      <c r="C464" s="75" t="s">
        <v>54</v>
      </c>
      <c r="D464" s="75">
        <v>5.341</v>
      </c>
      <c r="E464" s="75">
        <v>5.3416</v>
      </c>
      <c r="F464" s="71"/>
      <c r="G464" s="77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 ht="12.75" customHeight="1">
      <c r="A465" s="71"/>
      <c r="B465" s="74">
        <v>45960.0</v>
      </c>
      <c r="C465" s="75" t="s">
        <v>54</v>
      </c>
      <c r="D465" s="75">
        <v>5.3844</v>
      </c>
      <c r="E465" s="75">
        <v>5.385</v>
      </c>
      <c r="F465" s="71"/>
      <c r="G465" s="77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 ht="12.75" customHeight="1">
      <c r="A466" s="71"/>
      <c r="B466" s="74">
        <v>45961.0</v>
      </c>
      <c r="C466" s="75" t="s">
        <v>54</v>
      </c>
      <c r="D466" s="75">
        <v>5.3837</v>
      </c>
      <c r="E466" s="75">
        <v>5.3843</v>
      </c>
      <c r="F466" s="71"/>
      <c r="G466" s="77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 ht="12.75" customHeight="1">
      <c r="A467" s="71"/>
      <c r="B467" s="74">
        <v>45964.0</v>
      </c>
      <c r="C467" s="75" t="s">
        <v>54</v>
      </c>
      <c r="D467" s="75">
        <v>5.3499</v>
      </c>
      <c r="E467" s="75">
        <v>5.3505</v>
      </c>
      <c r="F467" s="71"/>
      <c r="G467" s="77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 ht="12.75" customHeight="1">
      <c r="A468" s="71"/>
      <c r="B468" s="74">
        <v>45965.0</v>
      </c>
      <c r="C468" s="75" t="s">
        <v>54</v>
      </c>
      <c r="D468" s="75">
        <v>5.384</v>
      </c>
      <c r="E468" s="75">
        <v>5.3846</v>
      </c>
      <c r="F468" s="71"/>
      <c r="G468" s="77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 ht="12.75" customHeight="1">
      <c r="A469" s="71"/>
      <c r="B469" s="74">
        <v>45966.0</v>
      </c>
      <c r="C469" s="75" t="s">
        <v>54</v>
      </c>
      <c r="D469" s="75">
        <v>5.3792</v>
      </c>
      <c r="E469" s="75">
        <v>5.3798</v>
      </c>
      <c r="F469" s="71"/>
      <c r="G469" s="77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 ht="12.75" customHeight="1">
      <c r="A470" s="71"/>
      <c r="B470" s="74">
        <v>45967.0</v>
      </c>
      <c r="C470" s="75" t="s">
        <v>54</v>
      </c>
      <c r="D470" s="75">
        <v>5.3445</v>
      </c>
      <c r="E470" s="75">
        <v>5.3451</v>
      </c>
      <c r="F470" s="71"/>
      <c r="G470" s="77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 ht="12.75" customHeight="1">
      <c r="A471" s="71"/>
      <c r="B471" s="74">
        <v>45968.0</v>
      </c>
      <c r="C471" s="75" t="s">
        <v>54</v>
      </c>
      <c r="D471" s="75">
        <v>5.3561</v>
      </c>
      <c r="E471" s="75">
        <v>5.3567</v>
      </c>
      <c r="F471" s="71"/>
      <c r="G471" s="77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 ht="12.75" customHeight="1">
      <c r="A472" s="71"/>
      <c r="B472" s="74">
        <v>45971.0</v>
      </c>
      <c r="C472" s="75" t="s">
        <v>54</v>
      </c>
      <c r="D472" s="75">
        <v>5.3175</v>
      </c>
      <c r="E472" s="75">
        <v>5.3181</v>
      </c>
      <c r="F472" s="71"/>
      <c r="G472" s="77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 ht="12.75" customHeight="1">
      <c r="A473" s="71"/>
      <c r="B473" s="74">
        <v>45972.0</v>
      </c>
      <c r="C473" s="75" t="s">
        <v>54</v>
      </c>
      <c r="D473" s="75">
        <v>5.2723</v>
      </c>
      <c r="E473" s="75">
        <v>5.2729</v>
      </c>
      <c r="F473" s="71"/>
      <c r="G473" s="77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 ht="12.75" customHeight="1">
      <c r="A474" s="71"/>
      <c r="B474" s="74">
        <v>45973.0</v>
      </c>
      <c r="C474" s="75" t="s">
        <v>54</v>
      </c>
      <c r="D474" s="75">
        <v>5.2879</v>
      </c>
      <c r="E474" s="75">
        <v>5.2885</v>
      </c>
      <c r="F474" s="71"/>
      <c r="G474" s="77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 ht="12.75" customHeight="1">
      <c r="A475" s="71"/>
      <c r="B475" s="74">
        <v>45974.0</v>
      </c>
      <c r="C475" s="75" t="s">
        <v>54</v>
      </c>
      <c r="D475" s="75">
        <v>5.2814</v>
      </c>
      <c r="E475" s="75">
        <v>5.282</v>
      </c>
      <c r="F475" s="71"/>
      <c r="G475" s="77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 ht="12.75" customHeight="1">
      <c r="A476" s="71"/>
      <c r="B476" s="74">
        <v>45975.0</v>
      </c>
      <c r="C476" s="75" t="s">
        <v>54</v>
      </c>
      <c r="D476" s="75">
        <v>5.2946</v>
      </c>
      <c r="E476" s="75">
        <v>5.2952</v>
      </c>
      <c r="F476" s="71"/>
      <c r="G476" s="77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 ht="12.75" customHeight="1">
      <c r="A477" s="71"/>
      <c r="B477" s="74">
        <v>45978.0</v>
      </c>
      <c r="C477" s="75" t="s">
        <v>54</v>
      </c>
      <c r="D477" s="75">
        <v>5.3102</v>
      </c>
      <c r="E477" s="75">
        <v>5.3108</v>
      </c>
      <c r="F477" s="71"/>
      <c r="G477" s="77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 ht="12.75" customHeight="1">
      <c r="A478" s="71"/>
      <c r="B478" s="74">
        <v>45979.0</v>
      </c>
      <c r="C478" s="75" t="s">
        <v>54</v>
      </c>
      <c r="D478" s="75">
        <v>5.3355</v>
      </c>
      <c r="E478" s="75">
        <v>5.3361</v>
      </c>
      <c r="F478" s="71"/>
      <c r="G478" s="77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 ht="12.75" customHeight="1">
      <c r="A479" s="71"/>
      <c r="B479" s="74">
        <v>45980.0</v>
      </c>
      <c r="C479" s="75" t="s">
        <v>54</v>
      </c>
      <c r="D479" s="75">
        <v>5.334</v>
      </c>
      <c r="E479" s="75">
        <v>5.3346</v>
      </c>
      <c r="F479" s="71"/>
      <c r="G479" s="77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 ht="12.75" customHeight="1">
      <c r="A480" s="71"/>
      <c r="B480" s="74">
        <v>45982.0</v>
      </c>
      <c r="C480" s="75" t="s">
        <v>54</v>
      </c>
      <c r="D480" s="75">
        <v>5.3896</v>
      </c>
      <c r="E480" s="75">
        <v>5.3902</v>
      </c>
      <c r="F480" s="71"/>
      <c r="G480" s="77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 ht="12.75" customHeight="1">
      <c r="A481" s="71"/>
      <c r="B481" s="74">
        <v>45985.0</v>
      </c>
      <c r="C481" s="75" t="s">
        <v>54</v>
      </c>
      <c r="D481" s="75">
        <v>5.3942</v>
      </c>
      <c r="E481" s="75">
        <v>5.3948</v>
      </c>
      <c r="F481" s="71"/>
      <c r="G481" s="77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 ht="12.75" customHeight="1">
      <c r="A482" s="71"/>
      <c r="B482" s="74">
        <v>45986.0</v>
      </c>
      <c r="C482" s="75" t="s">
        <v>54</v>
      </c>
      <c r="D482" s="75">
        <v>5.3835</v>
      </c>
      <c r="E482" s="75">
        <v>5.3841</v>
      </c>
      <c r="F482" s="71"/>
      <c r="G482" s="77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 ht="12.75" customHeight="1">
      <c r="A483" s="71"/>
      <c r="B483" s="74">
        <v>45987.0</v>
      </c>
      <c r="C483" s="75" t="s">
        <v>54</v>
      </c>
      <c r="D483" s="75">
        <v>5.3688</v>
      </c>
      <c r="E483" s="75">
        <v>5.3694</v>
      </c>
      <c r="F483" s="71"/>
      <c r="G483" s="77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 ht="12.75" customHeight="1">
      <c r="A484" s="71"/>
      <c r="B484" s="74">
        <v>45988.0</v>
      </c>
      <c r="C484" s="75" t="s">
        <v>54</v>
      </c>
      <c r="D484" s="75">
        <v>5.3484</v>
      </c>
      <c r="E484" s="75">
        <v>5.349</v>
      </c>
      <c r="F484" s="71"/>
      <c r="G484" s="77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 ht="12.75" customHeight="1">
      <c r="A485" s="71"/>
      <c r="B485" s="74">
        <v>45989.0</v>
      </c>
      <c r="C485" s="75" t="s">
        <v>54</v>
      </c>
      <c r="D485" s="75">
        <v>5.3332</v>
      </c>
      <c r="E485" s="75">
        <v>5.3338</v>
      </c>
      <c r="F485" s="71"/>
      <c r="G485" s="77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 ht="12.75" customHeight="1">
      <c r="A486" s="71"/>
      <c r="B486" s="74">
        <v>45992.0</v>
      </c>
      <c r="C486" s="75" t="s">
        <v>54</v>
      </c>
      <c r="D486" s="75">
        <v>5.3463</v>
      </c>
      <c r="E486" s="75">
        <v>5.3469</v>
      </c>
      <c r="F486" s="71"/>
      <c r="G486" s="77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 ht="12.75" customHeight="1">
      <c r="A487" s="71"/>
      <c r="B487" s="74">
        <v>45993.0</v>
      </c>
      <c r="C487" s="75" t="s">
        <v>54</v>
      </c>
      <c r="D487" s="75">
        <v>5.3459</v>
      </c>
      <c r="E487" s="75">
        <v>5.3465</v>
      </c>
      <c r="F487" s="71"/>
      <c r="G487" s="77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 ht="12.75" customHeight="1">
      <c r="A488" s="71"/>
      <c r="B488" s="74">
        <v>45994.0</v>
      </c>
      <c r="C488" s="75" t="s">
        <v>54</v>
      </c>
      <c r="D488" s="75">
        <v>5.3108</v>
      </c>
      <c r="E488" s="75">
        <v>5.3114</v>
      </c>
      <c r="F488" s="71"/>
      <c r="G488" s="77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 ht="12.75" customHeight="1">
      <c r="A489" s="71"/>
      <c r="B489" s="74">
        <v>45995.0</v>
      </c>
      <c r="C489" s="75" t="s">
        <v>54</v>
      </c>
      <c r="D489" s="75">
        <v>5.2946</v>
      </c>
      <c r="E489" s="75">
        <v>5.2952</v>
      </c>
      <c r="F489" s="71"/>
      <c r="G489" s="77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 ht="12.75" customHeight="1">
      <c r="A490" s="71"/>
      <c r="B490" s="74">
        <v>45996.0</v>
      </c>
      <c r="C490" s="75" t="s">
        <v>54</v>
      </c>
      <c r="D490" s="75">
        <v>5.3399</v>
      </c>
      <c r="E490" s="75">
        <v>5.3405</v>
      </c>
      <c r="F490" s="71"/>
      <c r="G490" s="77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 ht="12.75" customHeight="1">
      <c r="A491" s="71"/>
      <c r="B491" s="74">
        <v>45999.0</v>
      </c>
      <c r="C491" s="75" t="s">
        <v>54</v>
      </c>
      <c r="D491" s="75">
        <v>5.4243</v>
      </c>
      <c r="E491" s="75">
        <v>5.4249</v>
      </c>
      <c r="F491" s="71"/>
      <c r="G491" s="77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 ht="12.75" customHeight="1">
      <c r="A492" s="71"/>
      <c r="B492" s="74">
        <v>46000.0</v>
      </c>
      <c r="C492" s="75" t="s">
        <v>54</v>
      </c>
      <c r="D492" s="75">
        <v>5.4564</v>
      </c>
      <c r="E492" s="75">
        <v>5.457</v>
      </c>
      <c r="F492" s="71"/>
      <c r="G492" s="77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 ht="12.75" customHeight="1">
      <c r="A493" s="71"/>
      <c r="B493" s="74">
        <v>46001.0</v>
      </c>
      <c r="C493" s="75" t="s">
        <v>54</v>
      </c>
      <c r="D493" s="75">
        <v>5.465</v>
      </c>
      <c r="E493" s="75">
        <v>5.4656</v>
      </c>
      <c r="F493" s="71"/>
      <c r="G493" s="77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 ht="12.75" customHeight="1">
      <c r="A494" s="71"/>
      <c r="B494" s="74">
        <v>46002.0</v>
      </c>
      <c r="C494" s="75" t="s">
        <v>54</v>
      </c>
      <c r="D494" s="75">
        <v>5.4231</v>
      </c>
      <c r="E494" s="75">
        <v>5.4237</v>
      </c>
      <c r="F494" s="71"/>
      <c r="G494" s="77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 ht="12.75" customHeight="1">
      <c r="A495" s="71"/>
      <c r="B495" s="74">
        <v>46003.0</v>
      </c>
      <c r="C495" s="75" t="s">
        <v>54</v>
      </c>
      <c r="D495" s="75">
        <v>5.4005</v>
      </c>
      <c r="E495" s="75">
        <v>5.4011</v>
      </c>
      <c r="F495" s="71"/>
      <c r="G495" s="77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 ht="12.75" customHeight="1">
      <c r="A496" s="71"/>
      <c r="B496" s="74">
        <v>46006.0</v>
      </c>
      <c r="C496" s="75" t="s">
        <v>54</v>
      </c>
      <c r="D496" s="75">
        <v>5.3923</v>
      </c>
      <c r="E496" s="75">
        <v>5.3929</v>
      </c>
      <c r="F496" s="71"/>
      <c r="G496" s="77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 ht="12.75" customHeight="1">
      <c r="A497" s="71"/>
      <c r="B497" s="74">
        <v>46007.0</v>
      </c>
      <c r="C497" s="75" t="s">
        <v>54</v>
      </c>
      <c r="D497" s="75">
        <v>5.4499</v>
      </c>
      <c r="E497" s="75">
        <v>5.4505</v>
      </c>
      <c r="F497" s="71"/>
      <c r="G497" s="77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 ht="12.75" customHeight="1">
      <c r="A498" s="71"/>
      <c r="B498" s="74">
        <v>46008.0</v>
      </c>
      <c r="C498" s="75" t="s">
        <v>54</v>
      </c>
      <c r="D498" s="75">
        <v>5.5087</v>
      </c>
      <c r="E498" s="75">
        <v>5.5093</v>
      </c>
      <c r="F498" s="71"/>
      <c r="G498" s="77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 ht="12.75" customHeight="1">
      <c r="A499" s="71"/>
      <c r="B499" s="74">
        <v>46009.0</v>
      </c>
      <c r="C499" s="75" t="s">
        <v>54</v>
      </c>
      <c r="D499" s="75">
        <v>5.5277</v>
      </c>
      <c r="E499" s="75">
        <v>5.5283</v>
      </c>
      <c r="F499" s="71"/>
      <c r="G499" s="77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 ht="12.75" customHeight="1">
      <c r="A500" s="71"/>
      <c r="B500" s="74">
        <v>46010.0</v>
      </c>
      <c r="C500" s="75" t="s">
        <v>54</v>
      </c>
      <c r="D500" s="75">
        <v>5.5154</v>
      </c>
      <c r="E500" s="75">
        <v>5.516</v>
      </c>
      <c r="F500" s="71"/>
      <c r="G500" s="77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 ht="12.75" customHeight="1">
      <c r="A501" s="71"/>
      <c r="B501" s="74">
        <v>46013.0</v>
      </c>
      <c r="C501" s="75" t="s">
        <v>54</v>
      </c>
      <c r="D501" s="75">
        <v>5.5383</v>
      </c>
      <c r="E501" s="75">
        <v>5.5389</v>
      </c>
      <c r="F501" s="71"/>
      <c r="G501" s="77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 ht="12.75" customHeight="1">
      <c r="A502" s="71"/>
      <c r="B502" s="74">
        <v>46014.0</v>
      </c>
      <c r="C502" s="75" t="s">
        <v>54</v>
      </c>
      <c r="D502" s="75">
        <v>5.5637</v>
      </c>
      <c r="E502" s="75">
        <v>5.5643</v>
      </c>
      <c r="F502" s="71"/>
      <c r="G502" s="77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 ht="12.75" customHeight="1">
      <c r="A503" s="71"/>
      <c r="B503" s="74">
        <v>46015.0</v>
      </c>
      <c r="C503" s="75" t="s">
        <v>54</v>
      </c>
      <c r="D503" s="75">
        <v>5.5342</v>
      </c>
      <c r="E503" s="75">
        <v>5.535</v>
      </c>
      <c r="F503" s="71"/>
      <c r="G503" s="77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 ht="12.75" customHeight="1">
      <c r="A504" s="71"/>
      <c r="B504" s="74">
        <v>46017.0</v>
      </c>
      <c r="C504" s="75" t="s">
        <v>54</v>
      </c>
      <c r="D504" s="75">
        <v>5.5407</v>
      </c>
      <c r="E504" s="75">
        <v>5.5413</v>
      </c>
      <c r="F504" s="71"/>
      <c r="G504" s="77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 ht="12.75" customHeight="1">
      <c r="A505" s="71"/>
      <c r="B505" s="74">
        <v>46020.0</v>
      </c>
      <c r="C505" s="75" t="s">
        <v>54</v>
      </c>
      <c r="D505" s="75">
        <v>5.5733</v>
      </c>
      <c r="E505" s="75">
        <v>5.5739</v>
      </c>
      <c r="F505" s="71"/>
      <c r="G505" s="77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 ht="12.75" customHeight="1">
      <c r="A506" s="71"/>
      <c r="B506" s="74">
        <v>46021.0</v>
      </c>
      <c r="C506" s="75" t="s">
        <v>54</v>
      </c>
      <c r="D506" s="75">
        <v>5.5018</v>
      </c>
      <c r="E506" s="75">
        <v>5.5024</v>
      </c>
      <c r="F506" s="71"/>
      <c r="G506" s="77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 ht="12.75" customHeight="1">
      <c r="A507" s="71"/>
      <c r="B507" s="74">
        <v>46022.0</v>
      </c>
      <c r="C507" s="75" t="s">
        <v>54</v>
      </c>
      <c r="D507" s="75">
        <v>5.5018</v>
      </c>
      <c r="E507" s="75">
        <v>5.5024</v>
      </c>
      <c r="F507" s="71"/>
      <c r="G507" s="77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 ht="12.75" customHeight="1">
      <c r="A508" s="71"/>
      <c r="B508" s="78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 ht="12.75" customHeight="1">
      <c r="A509" s="71"/>
      <c r="B509" s="78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 ht="12.75" customHeight="1">
      <c r="A510" s="71"/>
      <c r="B510" s="78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 ht="12.75" customHeight="1">
      <c r="A511" s="71"/>
      <c r="B511" s="78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 ht="12.75" customHeight="1">
      <c r="A512" s="71"/>
      <c r="B512" s="78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 ht="12.75" customHeight="1">
      <c r="A513" s="71"/>
      <c r="B513" s="78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 ht="12.75" customHeight="1">
      <c r="A514" s="71"/>
      <c r="B514" s="78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 ht="12.75" customHeight="1">
      <c r="A515" s="71"/>
      <c r="B515" s="78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 ht="12.75" customHeight="1">
      <c r="A516" s="71"/>
      <c r="B516" s="78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 ht="12.75" customHeight="1">
      <c r="A517" s="71"/>
      <c r="B517" s="78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 ht="12.75" customHeight="1">
      <c r="A518" s="71"/>
      <c r="B518" s="78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 ht="12.75" customHeight="1">
      <c r="A519" s="71"/>
      <c r="B519" s="78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 ht="12.75" customHeight="1">
      <c r="A520" s="71"/>
      <c r="B520" s="78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 ht="12.75" customHeight="1">
      <c r="A521" s="71"/>
      <c r="B521" s="78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 ht="12.75" customHeight="1">
      <c r="A522" s="71"/>
      <c r="B522" s="78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 ht="12.75" customHeight="1">
      <c r="A523" s="71"/>
      <c r="B523" s="78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 ht="12.75" customHeight="1">
      <c r="A524" s="71"/>
      <c r="B524" s="78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 ht="12.75" customHeight="1">
      <c r="A525" s="71"/>
      <c r="B525" s="78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 ht="12.75" customHeight="1">
      <c r="A526" s="71"/>
      <c r="B526" s="78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 ht="12.75" customHeight="1">
      <c r="A527" s="71"/>
      <c r="B527" s="78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 ht="12.75" customHeight="1">
      <c r="A528" s="71"/>
      <c r="B528" s="78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 ht="12.75" customHeight="1">
      <c r="A529" s="71"/>
      <c r="B529" s="78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 ht="12.75" customHeight="1">
      <c r="A530" s="71"/>
      <c r="B530" s="78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 ht="12.75" customHeight="1">
      <c r="A531" s="71"/>
      <c r="B531" s="78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 ht="12.75" customHeight="1">
      <c r="A532" s="71"/>
      <c r="B532" s="78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 ht="12.75" customHeight="1">
      <c r="A533" s="71"/>
      <c r="B533" s="78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 ht="12.75" customHeight="1">
      <c r="A534" s="71"/>
      <c r="B534" s="78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 ht="12.75" customHeight="1">
      <c r="A535" s="71"/>
      <c r="B535" s="78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 ht="12.75" customHeight="1">
      <c r="A536" s="71"/>
      <c r="B536" s="78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 ht="12.75" customHeight="1">
      <c r="A537" s="71"/>
      <c r="B537" s="78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 ht="12.75" customHeight="1">
      <c r="A538" s="71"/>
      <c r="B538" s="78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 ht="12.75" customHeight="1">
      <c r="A539" s="71"/>
      <c r="B539" s="78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 ht="12.75" customHeight="1">
      <c r="A540" s="71"/>
      <c r="B540" s="78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 ht="12.75" customHeight="1">
      <c r="A541" s="71"/>
      <c r="B541" s="78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 ht="12.75" customHeight="1">
      <c r="A542" s="71"/>
      <c r="B542" s="78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 ht="12.75" customHeight="1">
      <c r="A543" s="71"/>
      <c r="B543" s="78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 ht="12.75" customHeight="1">
      <c r="A544" s="71"/>
      <c r="B544" s="78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 ht="12.75" customHeight="1">
      <c r="A545" s="71"/>
      <c r="B545" s="78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 ht="12.75" customHeight="1">
      <c r="A546" s="71"/>
      <c r="B546" s="78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 ht="12.75" customHeight="1">
      <c r="A547" s="71"/>
      <c r="B547" s="78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 ht="12.75" customHeight="1">
      <c r="A548" s="71"/>
      <c r="B548" s="78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 ht="12.75" customHeight="1">
      <c r="A549" s="71"/>
      <c r="B549" s="78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 ht="12.75" customHeight="1">
      <c r="A550" s="71"/>
      <c r="B550" s="78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 ht="12.75" customHeight="1">
      <c r="A551" s="71"/>
      <c r="B551" s="78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 ht="12.75" customHeight="1">
      <c r="A552" s="71"/>
      <c r="B552" s="78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 ht="12.75" customHeight="1">
      <c r="A553" s="71"/>
      <c r="B553" s="78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 ht="12.75" customHeight="1">
      <c r="A554" s="71"/>
      <c r="B554" s="78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 ht="12.75" customHeight="1">
      <c r="A555" s="71"/>
      <c r="B555" s="78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 ht="12.75" customHeight="1">
      <c r="A556" s="71"/>
      <c r="B556" s="78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 ht="12.75" customHeight="1">
      <c r="A557" s="71"/>
      <c r="B557" s="78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 ht="12.75" customHeight="1">
      <c r="A558" s="71"/>
      <c r="B558" s="78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 ht="12.75" customHeight="1">
      <c r="A559" s="71"/>
      <c r="B559" s="78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 ht="12.75" customHeight="1">
      <c r="A560" s="71"/>
      <c r="B560" s="78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 ht="12.75" customHeight="1">
      <c r="A561" s="71"/>
      <c r="B561" s="78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 ht="12.75" customHeight="1">
      <c r="A562" s="71"/>
      <c r="B562" s="78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 ht="12.75" customHeight="1">
      <c r="A563" s="71"/>
      <c r="B563" s="78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 ht="12.75" customHeight="1">
      <c r="A564" s="71"/>
      <c r="B564" s="78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 ht="12.75" customHeight="1">
      <c r="A565" s="71"/>
      <c r="B565" s="78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 ht="12.75" customHeight="1">
      <c r="A566" s="71"/>
      <c r="B566" s="78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 ht="12.75" customHeight="1">
      <c r="A567" s="71"/>
      <c r="B567" s="78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 ht="12.75" customHeight="1">
      <c r="A568" s="71"/>
      <c r="B568" s="78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 ht="12.75" customHeight="1">
      <c r="A569" s="71"/>
      <c r="B569" s="78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 ht="12.75" customHeight="1">
      <c r="A570" s="71"/>
      <c r="B570" s="78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 ht="12.75" customHeight="1">
      <c r="A571" s="71"/>
      <c r="B571" s="78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 ht="12.75" customHeight="1">
      <c r="A572" s="71"/>
      <c r="B572" s="78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 ht="12.75" customHeight="1">
      <c r="A573" s="71"/>
      <c r="B573" s="78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 ht="12.75" customHeight="1">
      <c r="A574" s="71"/>
      <c r="B574" s="78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 ht="12.75" customHeight="1">
      <c r="A575" s="71"/>
      <c r="B575" s="78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 ht="12.75" customHeight="1">
      <c r="A576" s="71"/>
      <c r="B576" s="78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 ht="12.75" customHeight="1">
      <c r="A577" s="71"/>
      <c r="B577" s="78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 ht="12.75" customHeight="1">
      <c r="A578" s="71"/>
      <c r="B578" s="78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 ht="12.75" customHeight="1">
      <c r="A579" s="71"/>
      <c r="B579" s="78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 ht="12.75" customHeight="1">
      <c r="A580" s="71"/>
      <c r="B580" s="78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 ht="12.75" customHeight="1">
      <c r="A581" s="71"/>
      <c r="B581" s="78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 ht="12.75" customHeight="1">
      <c r="A582" s="71"/>
      <c r="B582" s="78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 ht="12.75" customHeight="1">
      <c r="A583" s="71"/>
      <c r="B583" s="78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 ht="12.75" customHeight="1">
      <c r="A584" s="71"/>
      <c r="B584" s="78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 ht="12.75" customHeight="1">
      <c r="A585" s="71"/>
      <c r="B585" s="78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 ht="12.75" customHeight="1">
      <c r="A586" s="71"/>
      <c r="B586" s="78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 ht="12.75" customHeight="1">
      <c r="A587" s="71"/>
      <c r="B587" s="78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 ht="12.75" customHeight="1">
      <c r="A588" s="71"/>
      <c r="B588" s="78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 ht="12.75" customHeight="1">
      <c r="A589" s="71"/>
      <c r="B589" s="78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 ht="12.75" customHeight="1">
      <c r="A590" s="71"/>
      <c r="B590" s="78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 ht="12.75" customHeight="1">
      <c r="A591" s="71"/>
      <c r="B591" s="78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 ht="12.75" customHeight="1">
      <c r="A592" s="71"/>
      <c r="B592" s="78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 ht="12.75" customHeight="1">
      <c r="A593" s="71"/>
      <c r="B593" s="78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 ht="12.75" customHeight="1">
      <c r="A594" s="71"/>
      <c r="B594" s="78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 ht="12.75" customHeight="1">
      <c r="A595" s="71"/>
      <c r="B595" s="78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 ht="12.75" customHeight="1">
      <c r="A596" s="71"/>
      <c r="B596" s="78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 ht="12.75" customHeight="1">
      <c r="A597" s="71"/>
      <c r="B597" s="78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 ht="12.75" customHeight="1">
      <c r="A598" s="71"/>
      <c r="B598" s="78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 ht="12.75" customHeight="1">
      <c r="A599" s="71"/>
      <c r="B599" s="78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 ht="12.75" customHeight="1">
      <c r="A600" s="71"/>
      <c r="B600" s="78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 ht="12.75" customHeight="1">
      <c r="A601" s="71"/>
      <c r="B601" s="78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 ht="12.75" customHeight="1">
      <c r="A602" s="71"/>
      <c r="B602" s="78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 ht="12.75" customHeight="1">
      <c r="A603" s="71"/>
      <c r="B603" s="78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 ht="12.75" customHeight="1">
      <c r="A604" s="71"/>
      <c r="B604" s="78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 ht="12.75" customHeight="1">
      <c r="A605" s="71"/>
      <c r="B605" s="78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 ht="12.75" customHeight="1">
      <c r="A606" s="71"/>
      <c r="B606" s="78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 ht="12.75" customHeight="1">
      <c r="A607" s="71"/>
      <c r="B607" s="78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 ht="12.75" customHeight="1">
      <c r="A608" s="71"/>
      <c r="B608" s="78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 ht="12.75" customHeight="1">
      <c r="A609" s="71"/>
      <c r="B609" s="78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 ht="12.75" customHeight="1">
      <c r="A610" s="71"/>
      <c r="B610" s="78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 ht="12.75" customHeight="1">
      <c r="A611" s="71"/>
      <c r="B611" s="78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 ht="12.75" customHeight="1">
      <c r="A612" s="71"/>
      <c r="B612" s="78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 ht="12.75" customHeight="1">
      <c r="A613" s="71"/>
      <c r="B613" s="78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 ht="12.75" customHeight="1">
      <c r="A614" s="71"/>
      <c r="B614" s="78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 ht="12.75" customHeight="1">
      <c r="A615" s="71"/>
      <c r="B615" s="78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 ht="12.75" customHeight="1">
      <c r="A616" s="71"/>
      <c r="B616" s="78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 ht="12.75" customHeight="1">
      <c r="A617" s="71"/>
      <c r="B617" s="78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 ht="12.75" customHeight="1">
      <c r="A618" s="71"/>
      <c r="B618" s="78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 ht="12.75" customHeight="1">
      <c r="A619" s="71"/>
      <c r="B619" s="78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 ht="12.75" customHeight="1">
      <c r="A620" s="71"/>
      <c r="B620" s="78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 ht="12.75" customHeight="1">
      <c r="A621" s="71"/>
      <c r="B621" s="78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 ht="12.75" customHeight="1">
      <c r="A622" s="71"/>
      <c r="B622" s="78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 ht="12.75" customHeight="1">
      <c r="A623" s="71"/>
      <c r="B623" s="78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 ht="12.75" customHeight="1">
      <c r="A624" s="71"/>
      <c r="B624" s="78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 ht="12.75" customHeight="1">
      <c r="A625" s="71"/>
      <c r="B625" s="78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 ht="12.75" customHeight="1">
      <c r="A626" s="71"/>
      <c r="B626" s="78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 ht="12.75" customHeight="1">
      <c r="A627" s="71"/>
      <c r="B627" s="78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 ht="12.75" customHeight="1">
      <c r="A628" s="71"/>
      <c r="B628" s="78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 ht="12.75" customHeight="1">
      <c r="A629" s="71"/>
      <c r="B629" s="78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 ht="12.75" customHeight="1">
      <c r="A630" s="71"/>
      <c r="B630" s="78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 ht="12.75" customHeight="1">
      <c r="A631" s="71"/>
      <c r="B631" s="78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 ht="12.75" customHeight="1">
      <c r="A632" s="71"/>
      <c r="B632" s="78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 ht="12.75" customHeight="1">
      <c r="A633" s="71"/>
      <c r="B633" s="78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 ht="12.75" customHeight="1">
      <c r="A634" s="71"/>
      <c r="B634" s="78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 ht="12.75" customHeight="1">
      <c r="A635" s="71"/>
      <c r="B635" s="78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 ht="12.75" customHeight="1">
      <c r="A636" s="71"/>
      <c r="B636" s="78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 ht="12.75" customHeight="1">
      <c r="A637" s="71"/>
      <c r="B637" s="78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 ht="12.75" customHeight="1">
      <c r="A638" s="71"/>
      <c r="B638" s="78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 ht="12.75" customHeight="1">
      <c r="A639" s="71"/>
      <c r="B639" s="78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 ht="12.75" customHeight="1">
      <c r="A640" s="71"/>
      <c r="B640" s="78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 ht="12.75" customHeight="1">
      <c r="A641" s="71"/>
      <c r="B641" s="78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 ht="12.75" customHeight="1">
      <c r="A642" s="71"/>
      <c r="B642" s="78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 ht="12.75" customHeight="1">
      <c r="A643" s="71"/>
      <c r="B643" s="78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 ht="12.75" customHeight="1">
      <c r="A644" s="71"/>
      <c r="B644" s="78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 ht="12.75" customHeight="1">
      <c r="A645" s="71"/>
      <c r="B645" s="78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 ht="12.75" customHeight="1">
      <c r="A646" s="71"/>
      <c r="B646" s="78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 ht="12.75" customHeight="1">
      <c r="A647" s="71"/>
      <c r="B647" s="78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 ht="12.75" customHeight="1">
      <c r="A648" s="71"/>
      <c r="B648" s="78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 ht="12.75" customHeight="1">
      <c r="A649" s="71"/>
      <c r="B649" s="78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 ht="12.75" customHeight="1">
      <c r="A650" s="71"/>
      <c r="B650" s="78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 ht="12.75" customHeight="1">
      <c r="A651" s="71"/>
      <c r="B651" s="78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 ht="12.75" customHeight="1">
      <c r="A652" s="71"/>
      <c r="B652" s="78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 ht="12.75" customHeight="1">
      <c r="A653" s="71"/>
      <c r="B653" s="78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 ht="12.75" customHeight="1">
      <c r="A654" s="71"/>
      <c r="B654" s="78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 ht="12.75" customHeight="1">
      <c r="A655" s="71"/>
      <c r="B655" s="78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 ht="12.75" customHeight="1">
      <c r="A656" s="71"/>
      <c r="B656" s="78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 ht="12.75" customHeight="1">
      <c r="A657" s="71"/>
      <c r="B657" s="78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 ht="12.75" customHeight="1">
      <c r="A658" s="71"/>
      <c r="B658" s="78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 ht="12.75" customHeight="1">
      <c r="A659" s="71"/>
      <c r="B659" s="78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 ht="12.75" customHeight="1">
      <c r="A660" s="71"/>
      <c r="B660" s="78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 ht="12.75" customHeight="1">
      <c r="A661" s="71"/>
      <c r="B661" s="78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 ht="12.75" customHeight="1">
      <c r="A662" s="71"/>
      <c r="B662" s="78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 ht="12.75" customHeight="1">
      <c r="A663" s="71"/>
      <c r="B663" s="78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 ht="12.75" customHeight="1">
      <c r="A664" s="71"/>
      <c r="B664" s="78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 ht="12.75" customHeight="1">
      <c r="A665" s="71"/>
      <c r="B665" s="78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 ht="12.75" customHeight="1">
      <c r="A666" s="71"/>
      <c r="B666" s="78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 ht="12.75" customHeight="1">
      <c r="A667" s="71"/>
      <c r="B667" s="78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 ht="12.75" customHeight="1">
      <c r="A668" s="71"/>
      <c r="B668" s="78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 ht="12.75" customHeight="1">
      <c r="A669" s="71"/>
      <c r="B669" s="78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 ht="12.75" customHeight="1">
      <c r="A670" s="71"/>
      <c r="B670" s="78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 ht="12.75" customHeight="1">
      <c r="A671" s="71"/>
      <c r="B671" s="78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 ht="12.75" customHeight="1">
      <c r="A672" s="71"/>
      <c r="B672" s="78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 ht="12.75" customHeight="1">
      <c r="A673" s="71"/>
      <c r="B673" s="78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 ht="12.75" customHeight="1">
      <c r="A674" s="71"/>
      <c r="B674" s="78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 ht="12.75" customHeight="1">
      <c r="A675" s="71"/>
      <c r="B675" s="78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 ht="12.75" customHeight="1">
      <c r="A676" s="71"/>
      <c r="B676" s="78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 ht="12.75" customHeight="1">
      <c r="A677" s="71"/>
      <c r="B677" s="78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 ht="12.75" customHeight="1">
      <c r="A678" s="71"/>
      <c r="B678" s="78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 ht="12.75" customHeight="1">
      <c r="A679" s="71"/>
      <c r="B679" s="78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 ht="12.75" customHeight="1">
      <c r="A680" s="71"/>
      <c r="B680" s="78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 ht="12.75" customHeight="1">
      <c r="A681" s="71"/>
      <c r="B681" s="78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 ht="12.75" customHeight="1">
      <c r="A682" s="71"/>
      <c r="B682" s="78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 ht="12.75" customHeight="1">
      <c r="A683" s="71"/>
      <c r="B683" s="78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 ht="12.75" customHeight="1">
      <c r="A684" s="71"/>
      <c r="B684" s="78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 ht="12.75" customHeight="1">
      <c r="A685" s="71"/>
      <c r="B685" s="78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 ht="12.75" customHeight="1">
      <c r="A686" s="71"/>
      <c r="B686" s="78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 ht="12.75" customHeight="1">
      <c r="A687" s="71"/>
      <c r="B687" s="78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 ht="12.75" customHeight="1">
      <c r="A688" s="71"/>
      <c r="B688" s="78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 ht="12.75" customHeight="1">
      <c r="A689" s="71"/>
      <c r="B689" s="78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 ht="12.75" customHeight="1">
      <c r="A690" s="71"/>
      <c r="B690" s="78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 ht="12.75" customHeight="1">
      <c r="A691" s="71"/>
      <c r="B691" s="78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 ht="12.75" customHeight="1">
      <c r="A692" s="71"/>
      <c r="B692" s="78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 ht="12.75" customHeight="1">
      <c r="A693" s="71"/>
      <c r="B693" s="78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 ht="12.75" customHeight="1">
      <c r="A694" s="71"/>
      <c r="B694" s="78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 ht="12.75" customHeight="1">
      <c r="A695" s="71"/>
      <c r="B695" s="78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 ht="12.75" customHeight="1">
      <c r="A696" s="71"/>
      <c r="B696" s="78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 ht="12.75" customHeight="1">
      <c r="A697" s="71"/>
      <c r="B697" s="78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 ht="12.75" customHeight="1">
      <c r="A698" s="71"/>
      <c r="B698" s="78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 ht="12.75" customHeight="1">
      <c r="A699" s="71"/>
      <c r="B699" s="78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 ht="12.75" customHeight="1">
      <c r="A700" s="71"/>
      <c r="B700" s="78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 ht="12.75" customHeight="1">
      <c r="A701" s="71"/>
      <c r="B701" s="78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 ht="12.75" customHeight="1">
      <c r="A702" s="71"/>
      <c r="B702" s="78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 ht="12.75" customHeight="1">
      <c r="A703" s="71"/>
      <c r="B703" s="78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 ht="12.75" customHeight="1">
      <c r="A704" s="71"/>
      <c r="B704" s="78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 ht="12.75" customHeight="1">
      <c r="A705" s="71"/>
      <c r="B705" s="78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 ht="12.75" customHeight="1">
      <c r="A706" s="71"/>
      <c r="B706" s="78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 ht="12.75" customHeight="1">
      <c r="A707" s="71"/>
      <c r="B707" s="78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 ht="15.75" customHeight="1">
      <c r="A708" s="1"/>
      <c r="B708" s="1"/>
      <c r="C708" s="1"/>
      <c r="D708" s="1"/>
      <c r="E708" s="1"/>
      <c r="F708" s="1"/>
    </row>
    <row r="709" ht="15.75" customHeight="1">
      <c r="A709" s="1"/>
      <c r="B709" s="1"/>
      <c r="C709" s="1"/>
      <c r="D709" s="1"/>
      <c r="E709" s="1"/>
      <c r="F709" s="1"/>
    </row>
    <row r="710" ht="15.75" customHeight="1">
      <c r="A710" s="1"/>
      <c r="B710" s="1"/>
      <c r="C710" s="1"/>
      <c r="D710" s="1"/>
      <c r="E710" s="1"/>
      <c r="F710" s="1"/>
    </row>
    <row r="711" ht="15.75" customHeight="1">
      <c r="A711" s="1"/>
      <c r="B711" s="1"/>
      <c r="C711" s="1"/>
      <c r="D711" s="1"/>
      <c r="E711" s="1"/>
      <c r="F711" s="1"/>
    </row>
    <row r="712" ht="15.75" customHeight="1">
      <c r="A712" s="1"/>
      <c r="B712" s="1"/>
      <c r="C712" s="1"/>
      <c r="D712" s="1"/>
      <c r="E712" s="1"/>
      <c r="F712" s="1"/>
    </row>
    <row r="713" ht="15.75" customHeight="1">
      <c r="A713" s="1"/>
      <c r="B713" s="1"/>
      <c r="C713" s="1"/>
      <c r="D713" s="1"/>
      <c r="E713" s="1"/>
      <c r="F713" s="1"/>
    </row>
    <row r="714" ht="15.75" customHeight="1">
      <c r="A714" s="1"/>
      <c r="B714" s="1"/>
      <c r="C714" s="1"/>
      <c r="D714" s="1"/>
      <c r="E714" s="1"/>
      <c r="F714" s="1"/>
    </row>
    <row r="715" ht="15.75" customHeight="1">
      <c r="A715" s="1"/>
      <c r="B715" s="1"/>
      <c r="C715" s="1"/>
      <c r="D715" s="1"/>
      <c r="E715" s="1"/>
      <c r="F715" s="1"/>
    </row>
    <row r="716" ht="15.75" customHeight="1">
      <c r="A716" s="1"/>
      <c r="B716" s="1"/>
      <c r="C716" s="1"/>
      <c r="D716" s="1"/>
      <c r="E716" s="1"/>
      <c r="F716" s="1"/>
    </row>
    <row r="717" ht="15.75" customHeight="1">
      <c r="A717" s="1"/>
      <c r="B717" s="1"/>
      <c r="C717" s="1"/>
      <c r="D717" s="1"/>
      <c r="E717" s="1"/>
      <c r="F717" s="1"/>
    </row>
    <row r="718" ht="15.75" customHeight="1">
      <c r="A718" s="1"/>
      <c r="B718" s="1"/>
      <c r="C718" s="1"/>
      <c r="D718" s="1"/>
      <c r="E718" s="1"/>
      <c r="F718" s="1"/>
    </row>
    <row r="719" ht="15.75" customHeight="1">
      <c r="A719" s="1"/>
      <c r="B719" s="1"/>
      <c r="C719" s="1"/>
      <c r="D719" s="1"/>
      <c r="E719" s="1"/>
      <c r="F719" s="1"/>
    </row>
    <row r="720" ht="15.75" customHeight="1">
      <c r="A720" s="1"/>
      <c r="B720" s="1"/>
      <c r="C720" s="1"/>
      <c r="D720" s="1"/>
      <c r="E720" s="1"/>
      <c r="F720" s="1"/>
    </row>
    <row r="721" ht="15.75" customHeight="1">
      <c r="A721" s="1"/>
      <c r="B721" s="1"/>
      <c r="C721" s="1"/>
      <c r="D721" s="1"/>
      <c r="E721" s="1"/>
      <c r="F721" s="1"/>
    </row>
    <row r="722" ht="15.75" customHeight="1">
      <c r="A722" s="1"/>
      <c r="B722" s="1"/>
      <c r="C722" s="1"/>
      <c r="D722" s="1"/>
      <c r="E722" s="1"/>
      <c r="F722" s="1"/>
    </row>
    <row r="723" ht="15.75" customHeight="1">
      <c r="A723" s="1"/>
      <c r="B723" s="1"/>
      <c r="C723" s="1"/>
      <c r="D723" s="1"/>
      <c r="E723" s="1"/>
      <c r="F723" s="1"/>
    </row>
    <row r="724" ht="15.75" customHeight="1">
      <c r="A724" s="1"/>
      <c r="B724" s="1"/>
      <c r="C724" s="1"/>
      <c r="D724" s="1"/>
      <c r="E724" s="1"/>
      <c r="F724" s="1"/>
    </row>
    <row r="725" ht="15.75" customHeight="1">
      <c r="A725" s="1"/>
      <c r="B725" s="1"/>
      <c r="C725" s="1"/>
      <c r="D725" s="1"/>
      <c r="E725" s="1"/>
      <c r="F725" s="1"/>
    </row>
    <row r="726" ht="15.75" customHeight="1">
      <c r="A726" s="1"/>
      <c r="B726" s="1"/>
      <c r="C726" s="1"/>
      <c r="D726" s="1"/>
      <c r="E726" s="1"/>
      <c r="F726" s="1"/>
    </row>
    <row r="727" ht="15.75" customHeight="1">
      <c r="A727" s="1"/>
      <c r="B727" s="1"/>
      <c r="C727" s="1"/>
      <c r="D727" s="1"/>
      <c r="E727" s="1"/>
      <c r="F727" s="1"/>
    </row>
    <row r="728" ht="15.75" customHeight="1">
      <c r="A728" s="1"/>
      <c r="B728" s="1"/>
      <c r="C728" s="1"/>
      <c r="D728" s="1"/>
      <c r="E728" s="1"/>
      <c r="F728" s="1"/>
    </row>
    <row r="729" ht="15.75" customHeight="1">
      <c r="A729" s="1"/>
      <c r="B729" s="1"/>
      <c r="C729" s="1"/>
      <c r="D729" s="1"/>
      <c r="E729" s="1"/>
      <c r="F729" s="1"/>
    </row>
    <row r="730" ht="15.75" customHeight="1">
      <c r="A730" s="1"/>
      <c r="B730" s="1"/>
      <c r="C730" s="1"/>
      <c r="D730" s="1"/>
      <c r="E730" s="1"/>
      <c r="F730" s="1"/>
    </row>
    <row r="731" ht="15.75" customHeight="1">
      <c r="A731" s="1"/>
      <c r="B731" s="1"/>
      <c r="C731" s="1"/>
      <c r="D731" s="1"/>
      <c r="E731" s="1"/>
      <c r="F731" s="1"/>
    </row>
    <row r="732" ht="15.75" customHeight="1">
      <c r="A732" s="1"/>
      <c r="B732" s="1"/>
      <c r="C732" s="1"/>
      <c r="D732" s="1"/>
      <c r="E732" s="1"/>
      <c r="F732" s="1"/>
    </row>
    <row r="733" ht="15.75" customHeight="1">
      <c r="A733" s="1"/>
      <c r="B733" s="1"/>
      <c r="C733" s="1"/>
      <c r="D733" s="1"/>
      <c r="E733" s="1"/>
      <c r="F733" s="1"/>
    </row>
    <row r="734" ht="15.75" customHeight="1">
      <c r="A734" s="1"/>
      <c r="B734" s="1"/>
      <c r="C734" s="1"/>
      <c r="D734" s="1"/>
      <c r="E734" s="1"/>
      <c r="F734" s="1"/>
    </row>
    <row r="735" ht="15.75" customHeight="1">
      <c r="A735" s="1"/>
      <c r="B735" s="1"/>
      <c r="C735" s="1"/>
      <c r="D735" s="1"/>
      <c r="E735" s="1"/>
      <c r="F735" s="1"/>
    </row>
    <row r="736" ht="15.75" customHeight="1">
      <c r="A736" s="1"/>
      <c r="B736" s="1"/>
      <c r="C736" s="1"/>
      <c r="D736" s="1"/>
      <c r="E736" s="1"/>
      <c r="F736" s="1"/>
    </row>
    <row r="737" ht="15.75" customHeight="1">
      <c r="A737" s="1"/>
      <c r="B737" s="1"/>
      <c r="C737" s="1"/>
      <c r="D737" s="1"/>
      <c r="E737" s="1"/>
      <c r="F737" s="1"/>
    </row>
    <row r="738" ht="15.75" customHeight="1">
      <c r="A738" s="1"/>
      <c r="B738" s="1"/>
      <c r="C738" s="1"/>
      <c r="D738" s="1"/>
      <c r="E738" s="1"/>
      <c r="F738" s="1"/>
    </row>
    <row r="739" ht="15.75" customHeight="1">
      <c r="A739" s="1"/>
      <c r="B739" s="1"/>
      <c r="C739" s="1"/>
      <c r="D739" s="1"/>
      <c r="E739" s="1"/>
      <c r="F739" s="1"/>
    </row>
    <row r="740" ht="15.75" customHeight="1">
      <c r="A740" s="1"/>
      <c r="B740" s="1"/>
      <c r="C740" s="1"/>
      <c r="D740" s="1"/>
      <c r="E740" s="1"/>
      <c r="F740" s="1"/>
    </row>
    <row r="741" ht="15.75" customHeight="1">
      <c r="A741" s="1"/>
      <c r="B741" s="1"/>
      <c r="C741" s="1"/>
      <c r="D741" s="1"/>
      <c r="E741" s="1"/>
      <c r="F741" s="1"/>
    </row>
    <row r="742" ht="15.75" customHeight="1">
      <c r="A742" s="1"/>
      <c r="B742" s="1"/>
      <c r="C742" s="1"/>
      <c r="D742" s="1"/>
      <c r="E742" s="1"/>
      <c r="F742" s="1"/>
    </row>
    <row r="743" ht="15.75" customHeight="1">
      <c r="A743" s="1"/>
      <c r="B743" s="1"/>
      <c r="C743" s="1"/>
      <c r="D743" s="1"/>
      <c r="E743" s="1"/>
      <c r="F743" s="1"/>
    </row>
    <row r="744" ht="15.75" customHeight="1">
      <c r="A744" s="1"/>
      <c r="B744" s="1"/>
      <c r="C744" s="1"/>
      <c r="D744" s="1"/>
      <c r="E744" s="1"/>
      <c r="F744" s="1"/>
    </row>
    <row r="745" ht="15.75" customHeight="1">
      <c r="A745" s="1"/>
      <c r="B745" s="1"/>
      <c r="C745" s="1"/>
      <c r="D745" s="1"/>
      <c r="E745" s="1"/>
      <c r="F745" s="1"/>
    </row>
    <row r="746" ht="15.75" customHeight="1">
      <c r="A746" s="1"/>
      <c r="B746" s="1"/>
      <c r="C746" s="1"/>
      <c r="D746" s="1"/>
      <c r="E746" s="1"/>
      <c r="F746" s="1"/>
    </row>
    <row r="747" ht="15.75" customHeight="1">
      <c r="A747" s="1"/>
      <c r="B747" s="1"/>
      <c r="C747" s="1"/>
      <c r="D747" s="1"/>
      <c r="E747" s="1"/>
      <c r="F747" s="1"/>
    </row>
    <row r="748" ht="15.75" customHeight="1">
      <c r="A748" s="1"/>
      <c r="B748" s="1"/>
      <c r="C748" s="1"/>
      <c r="D748" s="1"/>
      <c r="E748" s="1"/>
      <c r="F748" s="1"/>
    </row>
    <row r="749" ht="15.75" customHeight="1">
      <c r="A749" s="1"/>
      <c r="B749" s="1"/>
      <c r="C749" s="1"/>
      <c r="D749" s="1"/>
      <c r="E749" s="1"/>
      <c r="F749" s="1"/>
    </row>
    <row r="750" ht="15.75" customHeight="1">
      <c r="A750" s="1"/>
      <c r="B750" s="1"/>
      <c r="C750" s="1"/>
      <c r="D750" s="1"/>
      <c r="E750" s="1"/>
      <c r="F750" s="1"/>
    </row>
    <row r="751" ht="15.75" customHeight="1">
      <c r="A751" s="1"/>
      <c r="B751" s="1"/>
      <c r="C751" s="1"/>
      <c r="D751" s="1"/>
      <c r="E751" s="1"/>
      <c r="F751" s="1"/>
    </row>
    <row r="752" ht="15.75" customHeight="1">
      <c r="A752" s="1"/>
      <c r="B752" s="1"/>
      <c r="C752" s="1"/>
      <c r="D752" s="1"/>
      <c r="E752" s="1"/>
      <c r="F752" s="1"/>
    </row>
    <row r="753" ht="15.75" customHeight="1">
      <c r="A753" s="1"/>
      <c r="B753" s="1"/>
      <c r="C753" s="1"/>
      <c r="D753" s="1"/>
      <c r="E753" s="1"/>
      <c r="F753" s="1"/>
    </row>
    <row r="754" ht="15.75" customHeight="1">
      <c r="A754" s="1"/>
      <c r="B754" s="1"/>
      <c r="C754" s="1"/>
      <c r="D754" s="1"/>
      <c r="E754" s="1"/>
      <c r="F754" s="1"/>
    </row>
    <row r="755" ht="15.75" customHeight="1">
      <c r="A755" s="1"/>
      <c r="B755" s="1"/>
      <c r="C755" s="1"/>
      <c r="D755" s="1"/>
      <c r="E755" s="1"/>
      <c r="F755" s="1"/>
    </row>
    <row r="756" ht="15.75" customHeight="1">
      <c r="A756" s="1"/>
      <c r="B756" s="1"/>
      <c r="C756" s="1"/>
      <c r="D756" s="1"/>
      <c r="E756" s="1"/>
      <c r="F756" s="1"/>
    </row>
    <row r="757" ht="15.75" customHeight="1">
      <c r="A757" s="1"/>
      <c r="B757" s="1"/>
      <c r="C757" s="1"/>
      <c r="D757" s="1"/>
      <c r="E757" s="1"/>
      <c r="F757" s="1"/>
    </row>
    <row r="758" ht="15.75" customHeight="1">
      <c r="A758" s="1"/>
      <c r="B758" s="1"/>
      <c r="C758" s="1"/>
      <c r="D758" s="1"/>
      <c r="E758" s="1"/>
      <c r="F758" s="1"/>
    </row>
    <row r="759" ht="15.75" customHeight="1">
      <c r="A759" s="1"/>
      <c r="B759" s="1"/>
      <c r="C759" s="1"/>
      <c r="D759" s="1"/>
      <c r="E759" s="1"/>
      <c r="F759" s="1"/>
    </row>
    <row r="760" ht="15.75" customHeight="1">
      <c r="A760" s="1"/>
      <c r="B760" s="1"/>
      <c r="C760" s="1"/>
      <c r="D760" s="1"/>
      <c r="E760" s="1"/>
      <c r="F760" s="1"/>
    </row>
    <row r="761" ht="15.75" customHeight="1">
      <c r="A761" s="1"/>
      <c r="B761" s="1"/>
      <c r="C761" s="1"/>
      <c r="D761" s="1"/>
      <c r="E761" s="1"/>
      <c r="F761" s="1"/>
    </row>
    <row r="762" ht="15.75" customHeight="1">
      <c r="A762" s="1"/>
      <c r="B762" s="1"/>
      <c r="C762" s="1"/>
      <c r="D762" s="1"/>
      <c r="E762" s="1"/>
      <c r="F762" s="1"/>
    </row>
    <row r="763" ht="15.75" customHeight="1">
      <c r="A763" s="1"/>
      <c r="B763" s="1"/>
      <c r="C763" s="1"/>
      <c r="D763" s="1"/>
      <c r="E763" s="1"/>
      <c r="F763" s="1"/>
    </row>
    <row r="764" ht="15.75" customHeight="1">
      <c r="A764" s="1"/>
      <c r="B764" s="1"/>
      <c r="C764" s="1"/>
      <c r="D764" s="1"/>
      <c r="E764" s="1"/>
      <c r="F764" s="1"/>
    </row>
    <row r="765" ht="15.75" customHeight="1">
      <c r="A765" s="1"/>
      <c r="B765" s="1"/>
      <c r="C765" s="1"/>
      <c r="D765" s="1"/>
      <c r="E765" s="1"/>
      <c r="F765" s="1"/>
    </row>
    <row r="766" ht="15.75" customHeight="1">
      <c r="A766" s="1"/>
      <c r="B766" s="1"/>
      <c r="C766" s="1"/>
      <c r="D766" s="1"/>
      <c r="E766" s="1"/>
      <c r="F766" s="1"/>
    </row>
    <row r="767" ht="15.75" customHeight="1">
      <c r="A767" s="1"/>
      <c r="B767" s="1"/>
      <c r="C767" s="1"/>
      <c r="D767" s="1"/>
      <c r="E767" s="1"/>
      <c r="F767" s="1"/>
    </row>
    <row r="768" ht="15.75" customHeight="1">
      <c r="A768" s="1"/>
      <c r="B768" s="1"/>
      <c r="C768" s="1"/>
      <c r="D768" s="1"/>
      <c r="E768" s="1"/>
      <c r="F768" s="1"/>
    </row>
    <row r="769" ht="15.75" customHeight="1">
      <c r="A769" s="1"/>
      <c r="B769" s="1"/>
      <c r="C769" s="1"/>
      <c r="D769" s="1"/>
      <c r="E769" s="1"/>
      <c r="F769" s="1"/>
    </row>
    <row r="770" ht="15.75" customHeight="1">
      <c r="A770" s="1"/>
      <c r="B770" s="1"/>
      <c r="C770" s="1"/>
      <c r="D770" s="1"/>
      <c r="E770" s="1"/>
      <c r="F770" s="1"/>
    </row>
    <row r="771" ht="15.75" customHeight="1">
      <c r="A771" s="1"/>
      <c r="B771" s="1"/>
      <c r="C771" s="1"/>
      <c r="D771" s="1"/>
      <c r="E771" s="1"/>
      <c r="F771" s="1"/>
    </row>
    <row r="772" ht="15.75" customHeight="1">
      <c r="A772" s="1"/>
      <c r="B772" s="1"/>
      <c r="C772" s="1"/>
      <c r="D772" s="1"/>
      <c r="E772" s="1"/>
      <c r="F772" s="1"/>
    </row>
    <row r="773" ht="15.75" customHeight="1">
      <c r="A773" s="1"/>
      <c r="B773" s="1"/>
      <c r="C773" s="1"/>
      <c r="D773" s="1"/>
      <c r="E773" s="1"/>
      <c r="F773" s="1"/>
    </row>
    <row r="774" ht="15.75" customHeight="1">
      <c r="A774" s="1"/>
      <c r="B774" s="1"/>
      <c r="C774" s="1"/>
      <c r="D774" s="1"/>
      <c r="E774" s="1"/>
      <c r="F774" s="1"/>
    </row>
    <row r="775" ht="15.75" customHeight="1">
      <c r="A775" s="1"/>
      <c r="B775" s="1"/>
      <c r="C775" s="1"/>
      <c r="D775" s="1"/>
      <c r="E775" s="1"/>
      <c r="F775" s="1"/>
    </row>
    <row r="776" ht="15.75" customHeight="1">
      <c r="A776" s="1"/>
      <c r="B776" s="1"/>
      <c r="C776" s="1"/>
      <c r="D776" s="1"/>
      <c r="E776" s="1"/>
      <c r="F776" s="1"/>
    </row>
    <row r="777" ht="15.75" customHeight="1">
      <c r="A777" s="1"/>
      <c r="B777" s="1"/>
      <c r="C777" s="1"/>
      <c r="D777" s="1"/>
      <c r="E777" s="1"/>
      <c r="F777" s="1"/>
    </row>
    <row r="778" ht="15.75" customHeight="1">
      <c r="A778" s="1"/>
      <c r="B778" s="1"/>
      <c r="C778" s="1"/>
      <c r="D778" s="1"/>
      <c r="E778" s="1"/>
      <c r="F778" s="1"/>
    </row>
    <row r="779" ht="15.75" customHeight="1">
      <c r="A779" s="1"/>
      <c r="B779" s="1"/>
      <c r="C779" s="1"/>
      <c r="D779" s="1"/>
      <c r="E779" s="1"/>
      <c r="F779" s="1"/>
    </row>
    <row r="780" ht="15.75" customHeight="1">
      <c r="A780" s="1"/>
      <c r="B780" s="1"/>
      <c r="C780" s="1"/>
      <c r="D780" s="1"/>
      <c r="E780" s="1"/>
      <c r="F780" s="1"/>
    </row>
    <row r="781" ht="15.75" customHeight="1">
      <c r="A781" s="1"/>
      <c r="B781" s="1"/>
      <c r="C781" s="1"/>
      <c r="D781" s="1"/>
      <c r="E781" s="1"/>
      <c r="F781" s="1"/>
    </row>
    <row r="782" ht="15.75" customHeight="1">
      <c r="A782" s="1"/>
      <c r="B782" s="1"/>
      <c r="C782" s="1"/>
      <c r="D782" s="1"/>
      <c r="E782" s="1"/>
      <c r="F782" s="1"/>
    </row>
    <row r="783" ht="15.75" customHeight="1">
      <c r="A783" s="1"/>
      <c r="B783" s="1"/>
      <c r="C783" s="1"/>
      <c r="D783" s="1"/>
      <c r="E783" s="1"/>
      <c r="F783" s="1"/>
    </row>
    <row r="784" ht="15.75" customHeight="1">
      <c r="A784" s="1"/>
      <c r="B784" s="1"/>
      <c r="C784" s="1"/>
      <c r="D784" s="1"/>
      <c r="E784" s="1"/>
      <c r="F784" s="1"/>
    </row>
    <row r="785" ht="15.75" customHeight="1">
      <c r="A785" s="1"/>
      <c r="B785" s="1"/>
      <c r="C785" s="1"/>
      <c r="D785" s="1"/>
      <c r="E785" s="1"/>
      <c r="F785" s="1"/>
    </row>
    <row r="786" ht="15.75" customHeight="1">
      <c r="A786" s="1"/>
      <c r="B786" s="1"/>
      <c r="C786" s="1"/>
      <c r="D786" s="1"/>
      <c r="E786" s="1"/>
      <c r="F786" s="1"/>
    </row>
    <row r="787" ht="15.75" customHeight="1">
      <c r="A787" s="1"/>
      <c r="B787" s="1"/>
      <c r="C787" s="1"/>
      <c r="D787" s="1"/>
      <c r="E787" s="1"/>
      <c r="F787" s="1"/>
    </row>
    <row r="788" ht="15.75" customHeight="1">
      <c r="A788" s="1"/>
      <c r="B788" s="1"/>
      <c r="C788" s="1"/>
      <c r="D788" s="1"/>
      <c r="E788" s="1"/>
      <c r="F788" s="1"/>
    </row>
    <row r="789" ht="15.75" customHeight="1">
      <c r="A789" s="1"/>
      <c r="B789" s="1"/>
      <c r="C789" s="1"/>
      <c r="D789" s="1"/>
      <c r="E789" s="1"/>
      <c r="F789" s="1"/>
    </row>
    <row r="790" ht="15.75" customHeight="1">
      <c r="A790" s="1"/>
      <c r="B790" s="1"/>
      <c r="C790" s="1"/>
      <c r="D790" s="1"/>
      <c r="E790" s="1"/>
      <c r="F790" s="1"/>
    </row>
    <row r="791" ht="15.75" customHeight="1">
      <c r="A791" s="1"/>
      <c r="B791" s="1"/>
      <c r="C791" s="1"/>
      <c r="D791" s="1"/>
      <c r="E791" s="1"/>
      <c r="F791" s="1"/>
    </row>
    <row r="792" ht="15.75" customHeight="1">
      <c r="A792" s="1"/>
      <c r="B792" s="1"/>
      <c r="C792" s="1"/>
      <c r="D792" s="1"/>
      <c r="E792" s="1"/>
      <c r="F792" s="1"/>
    </row>
    <row r="793" ht="15.75" customHeight="1">
      <c r="A793" s="1"/>
      <c r="B793" s="1"/>
      <c r="C793" s="1"/>
      <c r="D793" s="1"/>
      <c r="E793" s="1"/>
      <c r="F793" s="1"/>
    </row>
    <row r="794" ht="15.75" customHeight="1">
      <c r="A794" s="1"/>
      <c r="B794" s="1"/>
      <c r="C794" s="1"/>
      <c r="D794" s="1"/>
      <c r="E794" s="1"/>
      <c r="F794" s="1"/>
    </row>
    <row r="795" ht="15.75" customHeight="1">
      <c r="A795" s="1"/>
      <c r="B795" s="1"/>
      <c r="C795" s="1"/>
      <c r="D795" s="1"/>
      <c r="E795" s="1"/>
      <c r="F795" s="1"/>
    </row>
    <row r="796" ht="15.75" customHeight="1">
      <c r="A796" s="1"/>
      <c r="B796" s="1"/>
      <c r="C796" s="1"/>
      <c r="D796" s="1"/>
      <c r="E796" s="1"/>
      <c r="F796" s="1"/>
    </row>
    <row r="797" ht="15.75" customHeight="1">
      <c r="A797" s="1"/>
      <c r="B797" s="1"/>
      <c r="C797" s="1"/>
      <c r="D797" s="1"/>
      <c r="E797" s="1"/>
      <c r="F797" s="1"/>
    </row>
    <row r="798" ht="15.75" customHeight="1">
      <c r="A798" s="1"/>
      <c r="B798" s="1"/>
      <c r="C798" s="1"/>
      <c r="D798" s="1"/>
      <c r="E798" s="1"/>
      <c r="F798" s="1"/>
    </row>
    <row r="799" ht="15.75" customHeight="1">
      <c r="A799" s="1"/>
      <c r="B799" s="1"/>
      <c r="C799" s="1"/>
      <c r="D799" s="1"/>
      <c r="E799" s="1"/>
      <c r="F799" s="1"/>
    </row>
    <row r="800" ht="15.75" customHeight="1">
      <c r="A800" s="1"/>
      <c r="B800" s="1"/>
      <c r="C800" s="1"/>
      <c r="D800" s="1"/>
      <c r="E800" s="1"/>
      <c r="F800" s="1"/>
    </row>
    <row r="801" ht="15.75" customHeight="1">
      <c r="A801" s="1"/>
      <c r="B801" s="1"/>
      <c r="C801" s="1"/>
      <c r="D801" s="1"/>
      <c r="E801" s="1"/>
      <c r="F801" s="1"/>
    </row>
    <row r="802" ht="15.75" customHeight="1">
      <c r="A802" s="1"/>
      <c r="B802" s="1"/>
      <c r="C802" s="1"/>
      <c r="D802" s="1"/>
      <c r="E802" s="1"/>
      <c r="F802" s="1"/>
    </row>
    <row r="803" ht="15.75" customHeight="1">
      <c r="A803" s="1"/>
      <c r="B803" s="1"/>
      <c r="C803" s="1"/>
      <c r="D803" s="1"/>
      <c r="E803" s="1"/>
      <c r="F803" s="1"/>
    </row>
    <row r="804" ht="15.75" customHeight="1">
      <c r="A804" s="1"/>
      <c r="B804" s="1"/>
      <c r="C804" s="1"/>
      <c r="D804" s="1"/>
      <c r="E804" s="1"/>
      <c r="F804" s="1"/>
    </row>
    <row r="805" ht="15.75" customHeight="1">
      <c r="A805" s="1"/>
      <c r="B805" s="1"/>
      <c r="C805" s="1"/>
      <c r="D805" s="1"/>
      <c r="E805" s="1"/>
      <c r="F805" s="1"/>
    </row>
    <row r="806" ht="15.75" customHeight="1">
      <c r="A806" s="1"/>
      <c r="B806" s="1"/>
      <c r="C806" s="1"/>
      <c r="D806" s="1"/>
      <c r="E806" s="1"/>
      <c r="F806" s="1"/>
    </row>
    <row r="807" ht="15.75" customHeight="1">
      <c r="A807" s="1"/>
      <c r="B807" s="1"/>
      <c r="C807" s="1"/>
      <c r="D807" s="1"/>
      <c r="E807" s="1"/>
      <c r="F807" s="1"/>
    </row>
    <row r="808" ht="15.75" customHeight="1">
      <c r="A808" s="1"/>
      <c r="B808" s="1"/>
      <c r="C808" s="1"/>
      <c r="D808" s="1"/>
      <c r="E808" s="1"/>
      <c r="F808" s="1"/>
    </row>
    <row r="809" ht="15.75" customHeight="1">
      <c r="A809" s="1"/>
      <c r="B809" s="1"/>
      <c r="C809" s="1"/>
      <c r="D809" s="1"/>
      <c r="E809" s="1"/>
      <c r="F809" s="1"/>
    </row>
    <row r="810" ht="15.75" customHeight="1">
      <c r="A810" s="1"/>
      <c r="B810" s="1"/>
      <c r="C810" s="1"/>
      <c r="D810" s="1"/>
      <c r="E810" s="1"/>
      <c r="F810" s="1"/>
    </row>
    <row r="811" ht="15.75" customHeight="1">
      <c r="A811" s="1"/>
      <c r="B811" s="1"/>
      <c r="C811" s="1"/>
      <c r="D811" s="1"/>
      <c r="E811" s="1"/>
      <c r="F811" s="1"/>
    </row>
    <row r="812" ht="15.75" customHeight="1">
      <c r="A812" s="1"/>
      <c r="B812" s="1"/>
      <c r="C812" s="1"/>
      <c r="D812" s="1"/>
      <c r="E812" s="1"/>
      <c r="F812" s="1"/>
    </row>
    <row r="813" ht="15.75" customHeight="1">
      <c r="A813" s="1"/>
      <c r="B813" s="1"/>
      <c r="C813" s="1"/>
      <c r="D813" s="1"/>
      <c r="E813" s="1"/>
      <c r="F813" s="1"/>
    </row>
    <row r="814" ht="15.75" customHeight="1">
      <c r="A814" s="1"/>
      <c r="B814" s="1"/>
      <c r="C814" s="1"/>
      <c r="D814" s="1"/>
      <c r="E814" s="1"/>
      <c r="F814" s="1"/>
    </row>
    <row r="815" ht="15.75" customHeight="1">
      <c r="A815" s="1"/>
      <c r="B815" s="1"/>
      <c r="C815" s="1"/>
      <c r="D815" s="1"/>
      <c r="E815" s="1"/>
      <c r="F815" s="1"/>
    </row>
    <row r="816" ht="15.75" customHeight="1">
      <c r="A816" s="1"/>
      <c r="B816" s="1"/>
      <c r="C816" s="1"/>
      <c r="D816" s="1"/>
      <c r="E816" s="1"/>
      <c r="F816" s="1"/>
    </row>
    <row r="817" ht="15.75" customHeight="1">
      <c r="A817" s="1"/>
      <c r="B817" s="1"/>
      <c r="C817" s="1"/>
      <c r="D817" s="1"/>
      <c r="E817" s="1"/>
      <c r="F817" s="1"/>
    </row>
    <row r="818" ht="15.75" customHeight="1">
      <c r="A818" s="1"/>
      <c r="B818" s="1"/>
      <c r="C818" s="1"/>
      <c r="D818" s="1"/>
      <c r="E818" s="1"/>
      <c r="F818" s="1"/>
    </row>
    <row r="819" ht="15.75" customHeight="1">
      <c r="A819" s="1"/>
      <c r="B819" s="1"/>
      <c r="C819" s="1"/>
      <c r="D819" s="1"/>
      <c r="E819" s="1"/>
      <c r="F819" s="1"/>
    </row>
    <row r="820" ht="15.75" customHeight="1">
      <c r="A820" s="1"/>
      <c r="B820" s="1"/>
      <c r="C820" s="1"/>
      <c r="D820" s="1"/>
      <c r="E820" s="1"/>
      <c r="F820" s="1"/>
    </row>
    <row r="821" ht="15.75" customHeight="1">
      <c r="A821" s="1"/>
      <c r="B821" s="1"/>
      <c r="C821" s="1"/>
      <c r="D821" s="1"/>
      <c r="E821" s="1"/>
      <c r="F821" s="1"/>
    </row>
    <row r="822" ht="15.75" customHeight="1">
      <c r="A822" s="1"/>
      <c r="B822" s="1"/>
      <c r="C822" s="1"/>
      <c r="D822" s="1"/>
      <c r="E822" s="1"/>
      <c r="F822" s="1"/>
    </row>
    <row r="823" ht="15.75" customHeight="1">
      <c r="A823" s="1"/>
      <c r="B823" s="1"/>
      <c r="C823" s="1"/>
      <c r="D823" s="1"/>
      <c r="E823" s="1"/>
      <c r="F823" s="1"/>
    </row>
    <row r="824" ht="15.75" customHeight="1">
      <c r="A824" s="1"/>
      <c r="B824" s="1"/>
      <c r="C824" s="1"/>
      <c r="D824" s="1"/>
      <c r="E824" s="1"/>
      <c r="F824" s="1"/>
    </row>
    <row r="825" ht="15.75" customHeight="1">
      <c r="A825" s="1"/>
      <c r="B825" s="1"/>
      <c r="C825" s="1"/>
      <c r="D825" s="1"/>
      <c r="E825" s="1"/>
      <c r="F825" s="1"/>
    </row>
    <row r="826" ht="15.75" customHeight="1">
      <c r="A826" s="1"/>
      <c r="B826" s="1"/>
      <c r="C826" s="1"/>
      <c r="D826" s="1"/>
      <c r="E826" s="1"/>
      <c r="F826" s="1"/>
    </row>
    <row r="827" ht="15.75" customHeight="1">
      <c r="A827" s="1"/>
      <c r="B827" s="1"/>
      <c r="C827" s="1"/>
      <c r="D827" s="1"/>
      <c r="E827" s="1"/>
      <c r="F827" s="1"/>
    </row>
    <row r="828" ht="15.75" customHeight="1">
      <c r="A828" s="1"/>
      <c r="B828" s="1"/>
      <c r="C828" s="1"/>
      <c r="D828" s="1"/>
      <c r="E828" s="1"/>
      <c r="F828" s="1"/>
    </row>
    <row r="829" ht="15.75" customHeight="1">
      <c r="A829" s="1"/>
      <c r="B829" s="1"/>
      <c r="C829" s="1"/>
      <c r="D829" s="1"/>
      <c r="E829" s="1"/>
      <c r="F829" s="1"/>
    </row>
    <row r="830" ht="15.75" customHeight="1">
      <c r="A830" s="1"/>
      <c r="B830" s="1"/>
      <c r="C830" s="1"/>
      <c r="D830" s="1"/>
      <c r="E830" s="1"/>
      <c r="F830" s="1"/>
    </row>
    <row r="831" ht="15.75" customHeight="1">
      <c r="A831" s="1"/>
      <c r="B831" s="1"/>
      <c r="C831" s="1"/>
      <c r="D831" s="1"/>
      <c r="E831" s="1"/>
      <c r="F831" s="1"/>
    </row>
    <row r="832" ht="15.75" customHeight="1">
      <c r="A832" s="1"/>
      <c r="B832" s="1"/>
      <c r="C832" s="1"/>
      <c r="D832" s="1"/>
      <c r="E832" s="1"/>
      <c r="F832" s="1"/>
    </row>
    <row r="833" ht="15.75" customHeight="1">
      <c r="A833" s="1"/>
      <c r="B833" s="1"/>
      <c r="C833" s="1"/>
      <c r="D833" s="1"/>
      <c r="E833" s="1"/>
      <c r="F833" s="1"/>
    </row>
    <row r="834" ht="15.75" customHeight="1">
      <c r="A834" s="1"/>
      <c r="B834" s="1"/>
      <c r="C834" s="1"/>
      <c r="D834" s="1"/>
      <c r="E834" s="1"/>
      <c r="F834" s="1"/>
    </row>
    <row r="835" ht="15.75" customHeight="1">
      <c r="A835" s="1"/>
      <c r="B835" s="1"/>
      <c r="C835" s="1"/>
      <c r="D835" s="1"/>
      <c r="E835" s="1"/>
      <c r="F835" s="1"/>
    </row>
    <row r="836" ht="15.75" customHeight="1">
      <c r="A836" s="1"/>
      <c r="B836" s="1"/>
      <c r="C836" s="1"/>
      <c r="D836" s="1"/>
      <c r="E836" s="1"/>
      <c r="F836" s="1"/>
    </row>
    <row r="837" ht="15.75" customHeight="1">
      <c r="A837" s="1"/>
      <c r="B837" s="1"/>
      <c r="C837" s="1"/>
      <c r="D837" s="1"/>
      <c r="E837" s="1"/>
      <c r="F837" s="1"/>
    </row>
    <row r="838" ht="15.75" customHeight="1">
      <c r="A838" s="1"/>
      <c r="B838" s="1"/>
      <c r="C838" s="1"/>
      <c r="D838" s="1"/>
      <c r="E838" s="1"/>
      <c r="F838" s="1"/>
    </row>
    <row r="839" ht="15.75" customHeight="1">
      <c r="A839" s="1"/>
      <c r="B839" s="1"/>
      <c r="C839" s="1"/>
      <c r="D839" s="1"/>
      <c r="E839" s="1"/>
      <c r="F839" s="1"/>
    </row>
    <row r="840" ht="15.75" customHeight="1">
      <c r="A840" s="1"/>
      <c r="B840" s="1"/>
      <c r="C840" s="1"/>
      <c r="D840" s="1"/>
      <c r="E840" s="1"/>
      <c r="F840" s="1"/>
    </row>
    <row r="841" ht="15.75" customHeight="1">
      <c r="A841" s="1"/>
      <c r="B841" s="1"/>
      <c r="C841" s="1"/>
      <c r="D841" s="1"/>
      <c r="E841" s="1"/>
      <c r="F841" s="1"/>
    </row>
    <row r="842" ht="15.75" customHeight="1">
      <c r="A842" s="1"/>
      <c r="B842" s="1"/>
      <c r="C842" s="1"/>
      <c r="D842" s="1"/>
      <c r="E842" s="1"/>
      <c r="F842" s="1"/>
    </row>
    <row r="843" ht="15.75" customHeight="1">
      <c r="A843" s="1"/>
      <c r="B843" s="1"/>
      <c r="C843" s="1"/>
      <c r="D843" s="1"/>
      <c r="E843" s="1"/>
      <c r="F843" s="1"/>
    </row>
    <row r="844" ht="15.75" customHeight="1">
      <c r="A844" s="1"/>
      <c r="B844" s="1"/>
      <c r="C844" s="1"/>
      <c r="D844" s="1"/>
      <c r="E844" s="1"/>
      <c r="F844" s="1"/>
    </row>
    <row r="845" ht="15.75" customHeight="1">
      <c r="A845" s="1"/>
      <c r="B845" s="1"/>
      <c r="C845" s="1"/>
      <c r="D845" s="1"/>
      <c r="E845" s="1"/>
      <c r="F845" s="1"/>
    </row>
    <row r="846" ht="15.75" customHeight="1">
      <c r="A846" s="1"/>
      <c r="B846" s="1"/>
      <c r="C846" s="1"/>
      <c r="D846" s="1"/>
      <c r="E846" s="1"/>
      <c r="F846" s="1"/>
    </row>
    <row r="847" ht="15.75" customHeight="1">
      <c r="A847" s="1"/>
      <c r="B847" s="1"/>
      <c r="C847" s="1"/>
      <c r="D847" s="1"/>
      <c r="E847" s="1"/>
      <c r="F847" s="1"/>
    </row>
    <row r="848" ht="15.75" customHeight="1">
      <c r="A848" s="1"/>
      <c r="B848" s="1"/>
      <c r="C848" s="1"/>
      <c r="D848" s="1"/>
      <c r="E848" s="1"/>
      <c r="F848" s="1"/>
    </row>
    <row r="849" ht="15.75" customHeight="1">
      <c r="A849" s="1"/>
      <c r="B849" s="1"/>
      <c r="C849" s="1"/>
      <c r="D849" s="1"/>
      <c r="E849" s="1"/>
      <c r="F849" s="1"/>
    </row>
    <row r="850" ht="15.75" customHeight="1">
      <c r="A850" s="1"/>
      <c r="B850" s="1"/>
      <c r="C850" s="1"/>
      <c r="D850" s="1"/>
      <c r="E850" s="1"/>
      <c r="F850" s="1"/>
    </row>
    <row r="851" ht="15.75" customHeight="1">
      <c r="A851" s="1"/>
      <c r="B851" s="1"/>
      <c r="C851" s="1"/>
      <c r="D851" s="1"/>
      <c r="E851" s="1"/>
      <c r="F851" s="1"/>
    </row>
    <row r="852" ht="15.75" customHeight="1">
      <c r="A852" s="1"/>
      <c r="B852" s="1"/>
      <c r="C852" s="1"/>
      <c r="D852" s="1"/>
      <c r="E852" s="1"/>
      <c r="F852" s="1"/>
    </row>
    <row r="853" ht="15.75" customHeight="1">
      <c r="A853" s="1"/>
      <c r="B853" s="1"/>
      <c r="C853" s="1"/>
      <c r="D853" s="1"/>
      <c r="E853" s="1"/>
      <c r="F853" s="1"/>
    </row>
    <row r="854" ht="15.75" customHeight="1">
      <c r="A854" s="1"/>
      <c r="B854" s="1"/>
      <c r="C854" s="1"/>
      <c r="D854" s="1"/>
      <c r="E854" s="1"/>
      <c r="F854" s="1"/>
    </row>
    <row r="855" ht="15.75" customHeight="1">
      <c r="A855" s="1"/>
      <c r="B855" s="1"/>
      <c r="C855" s="1"/>
      <c r="D855" s="1"/>
      <c r="E855" s="1"/>
      <c r="F855" s="1"/>
    </row>
    <row r="856" ht="15.75" customHeight="1">
      <c r="A856" s="1"/>
      <c r="B856" s="1"/>
      <c r="C856" s="1"/>
      <c r="D856" s="1"/>
      <c r="E856" s="1"/>
      <c r="F856" s="1"/>
    </row>
    <row r="857" ht="15.75" customHeight="1">
      <c r="A857" s="1"/>
      <c r="B857" s="1"/>
      <c r="C857" s="1"/>
      <c r="D857" s="1"/>
      <c r="E857" s="1"/>
      <c r="F857" s="1"/>
    </row>
    <row r="858" ht="15.75" customHeight="1">
      <c r="A858" s="1"/>
      <c r="B858" s="1"/>
      <c r="C858" s="1"/>
      <c r="D858" s="1"/>
      <c r="E858" s="1"/>
      <c r="F858" s="1"/>
    </row>
    <row r="859" ht="15.75" customHeight="1">
      <c r="A859" s="1"/>
      <c r="B859" s="1"/>
      <c r="C859" s="1"/>
      <c r="D859" s="1"/>
      <c r="E859" s="1"/>
      <c r="F859" s="1"/>
    </row>
    <row r="860" ht="15.75" customHeight="1">
      <c r="A860" s="1"/>
      <c r="B860" s="1"/>
      <c r="C860" s="1"/>
      <c r="D860" s="1"/>
      <c r="E860" s="1"/>
      <c r="F860" s="1"/>
    </row>
    <row r="861" ht="15.75" customHeight="1">
      <c r="A861" s="1"/>
      <c r="B861" s="1"/>
      <c r="C861" s="1"/>
      <c r="D861" s="1"/>
      <c r="E861" s="1"/>
      <c r="F861" s="1"/>
    </row>
    <row r="862" ht="15.75" customHeight="1">
      <c r="A862" s="1"/>
      <c r="B862" s="1"/>
      <c r="C862" s="1"/>
      <c r="D862" s="1"/>
      <c r="E862" s="1"/>
      <c r="F862" s="1"/>
    </row>
    <row r="863" ht="15.75" customHeight="1">
      <c r="A863" s="1"/>
      <c r="B863" s="1"/>
      <c r="C863" s="1"/>
      <c r="D863" s="1"/>
      <c r="E863" s="1"/>
      <c r="F863" s="1"/>
    </row>
    <row r="864" ht="15.75" customHeight="1">
      <c r="A864" s="1"/>
      <c r="B864" s="1"/>
      <c r="C864" s="1"/>
      <c r="D864" s="1"/>
      <c r="E864" s="1"/>
      <c r="F864" s="1"/>
    </row>
    <row r="865" ht="15.75" customHeight="1">
      <c r="A865" s="1"/>
      <c r="B865" s="1"/>
      <c r="C865" s="1"/>
      <c r="D865" s="1"/>
      <c r="E865" s="1"/>
      <c r="F865" s="1"/>
    </row>
    <row r="866" ht="15.75" customHeight="1">
      <c r="A866" s="1"/>
      <c r="B866" s="1"/>
      <c r="C866" s="1"/>
      <c r="D866" s="1"/>
      <c r="E866" s="1"/>
      <c r="F866" s="1"/>
    </row>
    <row r="867" ht="15.75" customHeight="1">
      <c r="A867" s="1"/>
      <c r="B867" s="1"/>
      <c r="C867" s="1"/>
      <c r="D867" s="1"/>
      <c r="E867" s="1"/>
      <c r="F867" s="1"/>
    </row>
    <row r="868" ht="15.75" customHeight="1">
      <c r="A868" s="1"/>
      <c r="B868" s="1"/>
      <c r="C868" s="1"/>
      <c r="D868" s="1"/>
      <c r="E868" s="1"/>
      <c r="F868" s="1"/>
    </row>
    <row r="869" ht="15.75" customHeight="1">
      <c r="A869" s="1"/>
      <c r="B869" s="1"/>
      <c r="C869" s="1"/>
      <c r="D869" s="1"/>
      <c r="E869" s="1"/>
      <c r="F869" s="1"/>
    </row>
    <row r="870" ht="15.75" customHeight="1">
      <c r="A870" s="1"/>
      <c r="B870" s="1"/>
      <c r="C870" s="1"/>
      <c r="D870" s="1"/>
      <c r="E870" s="1"/>
      <c r="F870" s="1"/>
    </row>
    <row r="871" ht="15.75" customHeight="1">
      <c r="A871" s="1"/>
      <c r="B871" s="1"/>
      <c r="C871" s="1"/>
      <c r="D871" s="1"/>
      <c r="E871" s="1"/>
      <c r="F871" s="1"/>
    </row>
    <row r="872" ht="15.75" customHeight="1">
      <c r="A872" s="1"/>
      <c r="B872" s="1"/>
      <c r="C872" s="1"/>
      <c r="D872" s="1"/>
      <c r="E872" s="1"/>
      <c r="F872" s="1"/>
    </row>
    <row r="873" ht="15.75" customHeight="1">
      <c r="A873" s="1"/>
      <c r="B873" s="1"/>
      <c r="C873" s="1"/>
      <c r="D873" s="1"/>
      <c r="E873" s="1"/>
      <c r="F873" s="1"/>
    </row>
    <row r="874" ht="15.75" customHeight="1">
      <c r="A874" s="1"/>
      <c r="B874" s="1"/>
      <c r="C874" s="1"/>
      <c r="D874" s="1"/>
      <c r="E874" s="1"/>
      <c r="F874" s="1"/>
    </row>
    <row r="875" ht="15.75" customHeight="1">
      <c r="A875" s="1"/>
      <c r="B875" s="1"/>
      <c r="C875" s="1"/>
      <c r="D875" s="1"/>
      <c r="E875" s="1"/>
      <c r="F875" s="1"/>
    </row>
    <row r="876" ht="15.75" customHeight="1">
      <c r="A876" s="1"/>
      <c r="B876" s="1"/>
      <c r="C876" s="1"/>
      <c r="D876" s="1"/>
      <c r="E876" s="1"/>
      <c r="F876" s="1"/>
    </row>
    <row r="877" ht="15.75" customHeight="1">
      <c r="A877" s="1"/>
      <c r="B877" s="1"/>
      <c r="C877" s="1"/>
      <c r="D877" s="1"/>
      <c r="E877" s="1"/>
      <c r="F877" s="1"/>
    </row>
    <row r="878" ht="15.75" customHeight="1">
      <c r="A878" s="1"/>
      <c r="B878" s="1"/>
      <c r="C878" s="1"/>
      <c r="D878" s="1"/>
      <c r="E878" s="1"/>
      <c r="F878" s="1"/>
    </row>
    <row r="879" ht="15.75" customHeight="1">
      <c r="A879" s="1"/>
      <c r="B879" s="1"/>
      <c r="C879" s="1"/>
      <c r="D879" s="1"/>
      <c r="E879" s="1"/>
      <c r="F879" s="1"/>
    </row>
    <row r="880" ht="15.75" customHeight="1">
      <c r="A880" s="1"/>
      <c r="B880" s="1"/>
      <c r="C880" s="1"/>
      <c r="D880" s="1"/>
      <c r="E880" s="1"/>
      <c r="F880" s="1"/>
    </row>
    <row r="881" ht="15.75" customHeight="1">
      <c r="A881" s="1"/>
      <c r="B881" s="1"/>
      <c r="C881" s="1"/>
      <c r="D881" s="1"/>
      <c r="E881" s="1"/>
      <c r="F881" s="1"/>
    </row>
    <row r="882" ht="15.75" customHeight="1">
      <c r="A882" s="1"/>
      <c r="B882" s="1"/>
      <c r="C882" s="1"/>
      <c r="D882" s="1"/>
      <c r="E882" s="1"/>
      <c r="F882" s="1"/>
    </row>
    <row r="883" ht="15.75" customHeight="1">
      <c r="A883" s="1"/>
      <c r="B883" s="1"/>
      <c r="C883" s="1"/>
      <c r="D883" s="1"/>
      <c r="E883" s="1"/>
      <c r="F883" s="1"/>
    </row>
    <row r="884" ht="15.75" customHeight="1">
      <c r="A884" s="1"/>
      <c r="B884" s="1"/>
      <c r="C884" s="1"/>
      <c r="D884" s="1"/>
      <c r="E884" s="1"/>
      <c r="F884" s="1"/>
    </row>
    <row r="885" ht="15.75" customHeight="1">
      <c r="A885" s="1"/>
      <c r="B885" s="1"/>
      <c r="C885" s="1"/>
      <c r="D885" s="1"/>
      <c r="E885" s="1"/>
      <c r="F885" s="1"/>
    </row>
    <row r="886" ht="15.75" customHeight="1">
      <c r="A886" s="1"/>
      <c r="B886" s="1"/>
      <c r="C886" s="1"/>
      <c r="D886" s="1"/>
      <c r="E886" s="1"/>
      <c r="F886" s="1"/>
    </row>
    <row r="887" ht="15.75" customHeight="1">
      <c r="A887" s="1"/>
      <c r="B887" s="1"/>
      <c r="C887" s="1"/>
      <c r="D887" s="1"/>
      <c r="E887" s="1"/>
      <c r="F887" s="1"/>
    </row>
    <row r="888" ht="15.75" customHeight="1">
      <c r="A888" s="1"/>
      <c r="B888" s="1"/>
      <c r="C888" s="1"/>
      <c r="D888" s="1"/>
      <c r="E888" s="1"/>
      <c r="F888" s="1"/>
    </row>
    <row r="889" ht="15.75" customHeight="1">
      <c r="A889" s="1"/>
      <c r="B889" s="1"/>
      <c r="C889" s="1"/>
      <c r="D889" s="1"/>
      <c r="E889" s="1"/>
      <c r="F889" s="1"/>
    </row>
    <row r="890" ht="15.75" customHeight="1">
      <c r="A890" s="1"/>
      <c r="B890" s="1"/>
      <c r="C890" s="1"/>
      <c r="D890" s="1"/>
      <c r="E890" s="1"/>
      <c r="F890" s="1"/>
    </row>
    <row r="891" ht="15.75" customHeight="1">
      <c r="A891" s="1"/>
      <c r="B891" s="1"/>
      <c r="C891" s="1"/>
      <c r="D891" s="1"/>
      <c r="E891" s="1"/>
      <c r="F891" s="1"/>
    </row>
    <row r="892" ht="15.75" customHeight="1">
      <c r="A892" s="1"/>
      <c r="B892" s="1"/>
      <c r="C892" s="1"/>
      <c r="D892" s="1"/>
      <c r="E892" s="1"/>
      <c r="F892" s="1"/>
    </row>
    <row r="893" ht="15.75" customHeight="1">
      <c r="A893" s="1"/>
      <c r="B893" s="1"/>
      <c r="C893" s="1"/>
      <c r="D893" s="1"/>
      <c r="E893" s="1"/>
      <c r="F893" s="1"/>
    </row>
    <row r="894" ht="15.75" customHeight="1">
      <c r="A894" s="1"/>
      <c r="B894" s="1"/>
      <c r="C894" s="1"/>
      <c r="D894" s="1"/>
      <c r="E894" s="1"/>
      <c r="F894" s="1"/>
    </row>
    <row r="895" ht="15.75" customHeight="1">
      <c r="A895" s="1"/>
      <c r="B895" s="1"/>
      <c r="C895" s="1"/>
      <c r="D895" s="1"/>
      <c r="E895" s="1"/>
      <c r="F895" s="1"/>
    </row>
    <row r="896" ht="15.75" customHeight="1">
      <c r="A896" s="1"/>
      <c r="B896" s="1"/>
      <c r="C896" s="1"/>
      <c r="D896" s="1"/>
      <c r="E896" s="1"/>
      <c r="F896" s="1"/>
    </row>
    <row r="897" ht="15.75" customHeight="1">
      <c r="A897" s="1"/>
      <c r="B897" s="1"/>
      <c r="C897" s="1"/>
      <c r="D897" s="1"/>
      <c r="E897" s="1"/>
      <c r="F897" s="1"/>
    </row>
    <row r="898" ht="15.75" customHeight="1">
      <c r="A898" s="1"/>
      <c r="B898" s="1"/>
      <c r="C898" s="1"/>
      <c r="D898" s="1"/>
      <c r="E898" s="1"/>
      <c r="F898" s="1"/>
    </row>
    <row r="899" ht="15.75" customHeight="1">
      <c r="A899" s="1"/>
      <c r="B899" s="1"/>
      <c r="C899" s="1"/>
      <c r="D899" s="1"/>
      <c r="E899" s="1"/>
      <c r="F899" s="1"/>
    </row>
    <row r="900" ht="15.75" customHeight="1">
      <c r="A900" s="1"/>
      <c r="B900" s="1"/>
      <c r="C900" s="1"/>
      <c r="D900" s="1"/>
      <c r="E900" s="1"/>
      <c r="F900" s="1"/>
    </row>
    <row r="901" ht="15.75" customHeight="1">
      <c r="A901" s="1"/>
      <c r="B901" s="1"/>
      <c r="C901" s="1"/>
      <c r="D901" s="1"/>
      <c r="E901" s="1"/>
      <c r="F901" s="1"/>
    </row>
    <row r="902" ht="15.75" customHeight="1">
      <c r="A902" s="1"/>
      <c r="B902" s="1"/>
      <c r="C902" s="1"/>
      <c r="D902" s="1"/>
      <c r="E902" s="1"/>
      <c r="F902" s="1"/>
    </row>
    <row r="903" ht="15.75" customHeight="1">
      <c r="A903" s="1"/>
      <c r="B903" s="1"/>
      <c r="C903" s="1"/>
      <c r="D903" s="1"/>
      <c r="E903" s="1"/>
      <c r="F903" s="1"/>
    </row>
    <row r="904" ht="15.75" customHeight="1">
      <c r="A904" s="1"/>
      <c r="B904" s="1"/>
      <c r="C904" s="1"/>
      <c r="D904" s="1"/>
      <c r="E904" s="1"/>
      <c r="F904" s="1"/>
    </row>
    <row r="905" ht="15.75" customHeight="1">
      <c r="A905" s="1"/>
      <c r="B905" s="1"/>
      <c r="C905" s="1"/>
      <c r="D905" s="1"/>
      <c r="E905" s="1"/>
      <c r="F905" s="1"/>
    </row>
    <row r="906" ht="15.75" customHeight="1">
      <c r="A906" s="1"/>
      <c r="B906" s="1"/>
      <c r="C906" s="1"/>
      <c r="D906" s="1"/>
      <c r="E906" s="1"/>
      <c r="F906" s="1"/>
    </row>
    <row r="907" ht="15.75" customHeight="1">
      <c r="A907" s="1"/>
      <c r="B907" s="1"/>
      <c r="C907" s="1"/>
      <c r="D907" s="1"/>
      <c r="E907" s="1"/>
      <c r="F907" s="1"/>
    </row>
    <row r="908" ht="15.75" customHeight="1">
      <c r="A908" s="1"/>
      <c r="B908" s="1"/>
      <c r="C908" s="1"/>
      <c r="D908" s="1"/>
      <c r="E908" s="1"/>
      <c r="F908" s="1"/>
    </row>
    <row r="909" ht="15.75" customHeight="1">
      <c r="A909" s="1"/>
      <c r="B909" s="1"/>
      <c r="C909" s="1"/>
      <c r="D909" s="1"/>
      <c r="E909" s="1"/>
      <c r="F909" s="1"/>
    </row>
    <row r="910" ht="15.75" customHeight="1">
      <c r="A910" s="1"/>
      <c r="B910" s="1"/>
      <c r="C910" s="1"/>
      <c r="D910" s="1"/>
      <c r="E910" s="1"/>
      <c r="F910" s="1"/>
    </row>
    <row r="911" ht="15.75" customHeight="1">
      <c r="A911" s="1"/>
      <c r="B911" s="1"/>
      <c r="C911" s="1"/>
      <c r="D911" s="1"/>
      <c r="E911" s="1"/>
      <c r="F911" s="1"/>
    </row>
    <row r="912" ht="15.75" customHeight="1">
      <c r="A912" s="1"/>
      <c r="B912" s="1"/>
      <c r="C912" s="1"/>
      <c r="D912" s="1"/>
      <c r="E912" s="1"/>
      <c r="F912" s="1"/>
    </row>
    <row r="913" ht="15.75" customHeight="1">
      <c r="A913" s="1"/>
      <c r="B913" s="1"/>
      <c r="C913" s="1"/>
      <c r="D913" s="1"/>
      <c r="E913" s="1"/>
      <c r="F913" s="1"/>
    </row>
    <row r="914" ht="15.75" customHeight="1">
      <c r="A914" s="1"/>
      <c r="B914" s="1"/>
      <c r="C914" s="1"/>
      <c r="D914" s="1"/>
      <c r="E914" s="1"/>
      <c r="F914" s="1"/>
    </row>
    <row r="915" ht="15.75" customHeight="1">
      <c r="A915" s="1"/>
      <c r="B915" s="1"/>
      <c r="C915" s="1"/>
      <c r="D915" s="1"/>
      <c r="E915" s="1"/>
      <c r="F915" s="1"/>
    </row>
    <row r="916" ht="15.75" customHeight="1">
      <c r="A916" s="1"/>
      <c r="B916" s="1"/>
      <c r="C916" s="1"/>
      <c r="D916" s="1"/>
      <c r="E916" s="1"/>
      <c r="F916" s="1"/>
    </row>
    <row r="917" ht="15.75" customHeight="1">
      <c r="A917" s="1"/>
      <c r="B917" s="1"/>
      <c r="C917" s="1"/>
      <c r="D917" s="1"/>
      <c r="E917" s="1"/>
      <c r="F917" s="1"/>
    </row>
    <row r="918" ht="15.75" customHeight="1">
      <c r="A918" s="1"/>
      <c r="B918" s="1"/>
      <c r="C918" s="1"/>
      <c r="D918" s="1"/>
      <c r="E918" s="1"/>
      <c r="F918" s="1"/>
    </row>
    <row r="919" ht="15.75" customHeight="1">
      <c r="A919" s="1"/>
      <c r="B919" s="1"/>
      <c r="C919" s="1"/>
      <c r="D919" s="1"/>
      <c r="E919" s="1"/>
      <c r="F919" s="1"/>
    </row>
    <row r="920" ht="15.75" customHeight="1">
      <c r="A920" s="1"/>
      <c r="B920" s="1"/>
      <c r="C920" s="1"/>
      <c r="D920" s="1"/>
      <c r="E920" s="1"/>
      <c r="F920" s="1"/>
    </row>
    <row r="921" ht="15.75" customHeight="1">
      <c r="A921" s="1"/>
      <c r="B921" s="1"/>
      <c r="C921" s="1"/>
      <c r="D921" s="1"/>
      <c r="E921" s="1"/>
      <c r="F921" s="1"/>
    </row>
    <row r="922" ht="15.75" customHeight="1">
      <c r="A922" s="1"/>
      <c r="B922" s="1"/>
      <c r="C922" s="1"/>
      <c r="D922" s="1"/>
      <c r="E922" s="1"/>
      <c r="F922" s="1"/>
    </row>
    <row r="923" ht="15.75" customHeight="1">
      <c r="A923" s="1"/>
      <c r="B923" s="1"/>
      <c r="C923" s="1"/>
      <c r="D923" s="1"/>
      <c r="E923" s="1"/>
      <c r="F923" s="1"/>
    </row>
    <row r="924" ht="15.75" customHeight="1">
      <c r="A924" s="1"/>
      <c r="B924" s="1"/>
      <c r="C924" s="1"/>
      <c r="D924" s="1"/>
      <c r="E924" s="1"/>
      <c r="F924" s="1"/>
    </row>
    <row r="925" ht="15.75" customHeight="1">
      <c r="A925" s="1"/>
      <c r="B925" s="1"/>
      <c r="C925" s="1"/>
      <c r="D925" s="1"/>
      <c r="E925" s="1"/>
      <c r="F925" s="1"/>
    </row>
    <row r="926" ht="15.75" customHeight="1">
      <c r="A926" s="1"/>
      <c r="B926" s="1"/>
      <c r="C926" s="1"/>
      <c r="D926" s="1"/>
      <c r="E926" s="1"/>
      <c r="F926" s="1"/>
    </row>
    <row r="927" ht="15.75" customHeight="1">
      <c r="A927" s="1"/>
      <c r="B927" s="1"/>
      <c r="C927" s="1"/>
      <c r="D927" s="1"/>
      <c r="E927" s="1"/>
      <c r="F927" s="1"/>
    </row>
    <row r="928" ht="15.75" customHeight="1">
      <c r="A928" s="1"/>
      <c r="B928" s="1"/>
      <c r="C928" s="1"/>
      <c r="D928" s="1"/>
      <c r="E928" s="1"/>
      <c r="F928" s="1"/>
    </row>
    <row r="929" ht="15.75" customHeight="1">
      <c r="A929" s="1"/>
      <c r="B929" s="1"/>
      <c r="C929" s="1"/>
      <c r="D929" s="1"/>
      <c r="E929" s="1"/>
      <c r="F929" s="1"/>
    </row>
    <row r="930" ht="15.75" customHeight="1">
      <c r="A930" s="1"/>
      <c r="B930" s="1"/>
      <c r="C930" s="1"/>
      <c r="D930" s="1"/>
      <c r="E930" s="1"/>
      <c r="F930" s="1"/>
    </row>
    <row r="931" ht="15.75" customHeight="1">
      <c r="A931" s="1"/>
      <c r="B931" s="1"/>
      <c r="C931" s="1"/>
      <c r="D931" s="1"/>
      <c r="E931" s="1"/>
      <c r="F931" s="1"/>
    </row>
    <row r="932" ht="15.75" customHeight="1">
      <c r="A932" s="1"/>
      <c r="B932" s="1"/>
      <c r="C932" s="1"/>
      <c r="D932" s="1"/>
      <c r="E932" s="1"/>
      <c r="F932" s="1"/>
    </row>
    <row r="933" ht="15.75" customHeight="1">
      <c r="A933" s="1"/>
      <c r="B933" s="1"/>
      <c r="C933" s="1"/>
      <c r="D933" s="1"/>
      <c r="E933" s="1"/>
      <c r="F933" s="1"/>
    </row>
    <row r="934" ht="15.75" customHeight="1">
      <c r="A934" s="1"/>
      <c r="B934" s="1"/>
      <c r="C934" s="1"/>
      <c r="D934" s="1"/>
      <c r="E934" s="1"/>
      <c r="F934" s="1"/>
    </row>
    <row r="935" ht="15.75" customHeight="1">
      <c r="A935" s="1"/>
      <c r="B935" s="1"/>
      <c r="C935" s="1"/>
      <c r="D935" s="1"/>
      <c r="E935" s="1"/>
      <c r="F935" s="1"/>
    </row>
    <row r="936" ht="15.75" customHeight="1">
      <c r="A936" s="1"/>
      <c r="B936" s="1"/>
      <c r="C936" s="1"/>
      <c r="D936" s="1"/>
      <c r="E936" s="1"/>
      <c r="F936" s="1"/>
    </row>
    <row r="937" ht="15.75" customHeight="1">
      <c r="A937" s="1"/>
      <c r="B937" s="1"/>
      <c r="C937" s="1"/>
      <c r="D937" s="1"/>
      <c r="E937" s="1"/>
      <c r="F937" s="1"/>
    </row>
    <row r="938" ht="15.75" customHeight="1">
      <c r="A938" s="1"/>
      <c r="B938" s="1"/>
      <c r="C938" s="1"/>
      <c r="D938" s="1"/>
      <c r="E938" s="1"/>
      <c r="F938" s="1"/>
    </row>
    <row r="939" ht="15.75" customHeight="1">
      <c r="A939" s="1"/>
      <c r="B939" s="1"/>
      <c r="C939" s="1"/>
      <c r="D939" s="1"/>
      <c r="E939" s="1"/>
      <c r="F939" s="1"/>
    </row>
    <row r="940" ht="15.75" customHeight="1">
      <c r="A940" s="1"/>
      <c r="B940" s="1"/>
      <c r="C940" s="1"/>
      <c r="D940" s="1"/>
      <c r="E940" s="1"/>
      <c r="F940" s="1"/>
    </row>
    <row r="941" ht="15.75" customHeight="1">
      <c r="A941" s="1"/>
      <c r="B941" s="1"/>
      <c r="C941" s="1"/>
      <c r="D941" s="1"/>
      <c r="E941" s="1"/>
      <c r="F941" s="1"/>
    </row>
    <row r="942" ht="15.75" customHeight="1">
      <c r="A942" s="1"/>
      <c r="B942" s="1"/>
      <c r="C942" s="1"/>
      <c r="D942" s="1"/>
      <c r="E942" s="1"/>
      <c r="F942" s="1"/>
    </row>
    <row r="943" ht="15.75" customHeight="1">
      <c r="A943" s="1"/>
      <c r="B943" s="1"/>
      <c r="C943" s="1"/>
      <c r="D943" s="1"/>
      <c r="E943" s="1"/>
      <c r="F943" s="1"/>
    </row>
    <row r="944" ht="15.75" customHeight="1">
      <c r="A944" s="1"/>
      <c r="B944" s="1"/>
      <c r="C944" s="1"/>
      <c r="D944" s="1"/>
      <c r="E944" s="1"/>
      <c r="F944" s="1"/>
    </row>
    <row r="945" ht="15.75" customHeight="1">
      <c r="A945" s="1"/>
      <c r="B945" s="1"/>
      <c r="C945" s="1"/>
      <c r="D945" s="1"/>
      <c r="E945" s="1"/>
      <c r="F945" s="1"/>
    </row>
    <row r="946" ht="15.75" customHeight="1">
      <c r="A946" s="1"/>
      <c r="B946" s="1"/>
      <c r="C946" s="1"/>
      <c r="D946" s="1"/>
      <c r="E946" s="1"/>
      <c r="F946" s="1"/>
    </row>
    <row r="947" ht="15.75" customHeight="1">
      <c r="A947" s="1"/>
      <c r="B947" s="1"/>
      <c r="C947" s="1"/>
      <c r="D947" s="1"/>
      <c r="E947" s="1"/>
      <c r="F947" s="1"/>
    </row>
    <row r="948" ht="15.75" customHeight="1">
      <c r="A948" s="1"/>
      <c r="B948" s="1"/>
      <c r="C948" s="1"/>
      <c r="D948" s="1"/>
      <c r="E948" s="1"/>
      <c r="F948" s="1"/>
    </row>
    <row r="949" ht="15.75" customHeight="1">
      <c r="A949" s="1"/>
      <c r="B949" s="1"/>
      <c r="C949" s="1"/>
      <c r="D949" s="1"/>
      <c r="E949" s="1"/>
      <c r="F949" s="1"/>
    </row>
    <row r="950" ht="15.75" customHeight="1">
      <c r="A950" s="1"/>
      <c r="B950" s="1"/>
      <c r="C950" s="1"/>
      <c r="D950" s="1"/>
      <c r="E950" s="1"/>
      <c r="F950" s="1"/>
    </row>
    <row r="951" ht="15.75" customHeight="1">
      <c r="A951" s="1"/>
      <c r="B951" s="1"/>
      <c r="C951" s="1"/>
      <c r="D951" s="1"/>
      <c r="E951" s="1"/>
      <c r="F951" s="1"/>
    </row>
    <row r="952" ht="15.75" customHeight="1">
      <c r="A952" s="1"/>
      <c r="B952" s="1"/>
      <c r="C952" s="1"/>
      <c r="D952" s="1"/>
      <c r="E952" s="1"/>
      <c r="F952" s="1"/>
    </row>
    <row r="953" ht="15.75" customHeight="1">
      <c r="A953" s="1"/>
      <c r="B953" s="1"/>
      <c r="C953" s="1"/>
      <c r="D953" s="1"/>
      <c r="E953" s="1"/>
      <c r="F953" s="1"/>
    </row>
    <row r="954" ht="15.75" customHeight="1">
      <c r="A954" s="1"/>
      <c r="B954" s="1"/>
      <c r="C954" s="1"/>
      <c r="D954" s="1"/>
      <c r="E954" s="1"/>
      <c r="F954" s="1"/>
    </row>
    <row r="955" ht="15.75" customHeight="1">
      <c r="A955" s="1"/>
      <c r="B955" s="1"/>
      <c r="C955" s="1"/>
      <c r="D955" s="1"/>
      <c r="E955" s="1"/>
      <c r="F955" s="1"/>
    </row>
    <row r="956" ht="15.75" customHeight="1">
      <c r="A956" s="1"/>
      <c r="B956" s="1"/>
      <c r="C956" s="1"/>
      <c r="D956" s="1"/>
      <c r="E956" s="1"/>
      <c r="F956" s="1"/>
    </row>
    <row r="957" ht="15.75" customHeight="1">
      <c r="A957" s="1"/>
      <c r="B957" s="1"/>
      <c r="C957" s="1"/>
      <c r="D957" s="1"/>
      <c r="E957" s="1"/>
      <c r="F957" s="1"/>
    </row>
    <row r="958" ht="15.75" customHeight="1">
      <c r="A958" s="1"/>
      <c r="B958" s="1"/>
      <c r="C958" s="1"/>
      <c r="D958" s="1"/>
      <c r="E958" s="1"/>
      <c r="F958" s="1"/>
    </row>
    <row r="959" ht="15.75" customHeight="1">
      <c r="A959" s="1"/>
      <c r="B959" s="1"/>
      <c r="C959" s="1"/>
      <c r="D959" s="1"/>
      <c r="E959" s="1"/>
      <c r="F959" s="1"/>
    </row>
    <row r="960" ht="15.75" customHeight="1">
      <c r="A960" s="1"/>
      <c r="B960" s="1"/>
      <c r="C960" s="1"/>
      <c r="D960" s="1"/>
      <c r="E960" s="1"/>
      <c r="F960" s="1"/>
    </row>
    <row r="961" ht="15.75" customHeight="1">
      <c r="A961" s="1"/>
      <c r="B961" s="1"/>
      <c r="C961" s="1"/>
      <c r="D961" s="1"/>
      <c r="E961" s="1"/>
      <c r="F961" s="1"/>
    </row>
    <row r="962" ht="15.75" customHeight="1">
      <c r="A962" s="1"/>
      <c r="B962" s="1"/>
      <c r="C962" s="1"/>
      <c r="D962" s="1"/>
      <c r="E962" s="1"/>
      <c r="F962" s="1"/>
    </row>
    <row r="963" ht="15.75" customHeight="1">
      <c r="A963" s="1"/>
      <c r="B963" s="1"/>
      <c r="C963" s="1"/>
      <c r="D963" s="1"/>
      <c r="E963" s="1"/>
      <c r="F963" s="1"/>
    </row>
    <row r="964" ht="15.75" customHeight="1">
      <c r="A964" s="1"/>
      <c r="B964" s="1"/>
      <c r="C964" s="1"/>
      <c r="D964" s="1"/>
      <c r="E964" s="1"/>
      <c r="F964" s="1"/>
    </row>
    <row r="965" ht="15.75" customHeight="1">
      <c r="A965" s="1"/>
      <c r="B965" s="1"/>
      <c r="C965" s="1"/>
      <c r="D965" s="1"/>
      <c r="E965" s="1"/>
      <c r="F965" s="1"/>
    </row>
    <row r="966" ht="15.75" customHeight="1">
      <c r="A966" s="1"/>
      <c r="B966" s="1"/>
      <c r="C966" s="1"/>
      <c r="D966" s="1"/>
      <c r="E966" s="1"/>
      <c r="F966" s="1"/>
    </row>
    <row r="967" ht="15.75" customHeight="1">
      <c r="A967" s="1"/>
      <c r="B967" s="1"/>
      <c r="C967" s="1"/>
      <c r="D967" s="1"/>
      <c r="E967" s="1"/>
      <c r="F967" s="1"/>
    </row>
    <row r="968" ht="15.75" customHeight="1">
      <c r="A968" s="1"/>
      <c r="B968" s="1"/>
      <c r="C968" s="1"/>
      <c r="D968" s="1"/>
      <c r="E968" s="1"/>
      <c r="F968" s="1"/>
    </row>
    <row r="969" ht="15.75" customHeight="1">
      <c r="A969" s="1"/>
      <c r="B969" s="1"/>
      <c r="C969" s="1"/>
      <c r="D969" s="1"/>
      <c r="E969" s="1"/>
      <c r="F969" s="1"/>
    </row>
    <row r="970" ht="15.75" customHeight="1">
      <c r="A970" s="1"/>
      <c r="B970" s="1"/>
      <c r="C970" s="1"/>
      <c r="D970" s="1"/>
      <c r="E970" s="1"/>
      <c r="F970" s="1"/>
    </row>
    <row r="971" ht="15.75" customHeight="1">
      <c r="A971" s="1"/>
      <c r="B971" s="1"/>
      <c r="C971" s="1"/>
      <c r="D971" s="1"/>
      <c r="E971" s="1"/>
      <c r="F971" s="1"/>
    </row>
    <row r="972" ht="15.75" customHeight="1">
      <c r="A972" s="1"/>
      <c r="B972" s="1"/>
      <c r="C972" s="1"/>
      <c r="D972" s="1"/>
      <c r="E972" s="1"/>
      <c r="F972" s="1"/>
    </row>
    <row r="973" ht="15.75" customHeight="1">
      <c r="A973" s="1"/>
      <c r="B973" s="1"/>
      <c r="C973" s="1"/>
      <c r="D973" s="1"/>
      <c r="E973" s="1"/>
      <c r="F973" s="1"/>
    </row>
    <row r="974" ht="15.75" customHeight="1">
      <c r="A974" s="1"/>
      <c r="B974" s="1"/>
      <c r="C974" s="1"/>
      <c r="D974" s="1"/>
      <c r="E974" s="1"/>
      <c r="F974" s="1"/>
    </row>
    <row r="975" ht="15.75" customHeight="1">
      <c r="A975" s="1"/>
      <c r="B975" s="1"/>
      <c r="C975" s="1"/>
      <c r="D975" s="1"/>
      <c r="E975" s="1"/>
      <c r="F975" s="1"/>
    </row>
    <row r="976" ht="15.75" customHeight="1">
      <c r="A976" s="1"/>
      <c r="B976" s="1"/>
      <c r="C976" s="1"/>
      <c r="D976" s="1"/>
      <c r="E976" s="1"/>
      <c r="F976" s="1"/>
    </row>
    <row r="977" ht="15.75" customHeight="1">
      <c r="A977" s="1"/>
      <c r="B977" s="1"/>
      <c r="C977" s="1"/>
      <c r="D977" s="1"/>
      <c r="E977" s="1"/>
      <c r="F977" s="1"/>
    </row>
    <row r="978" ht="15.75" customHeight="1">
      <c r="A978" s="1"/>
      <c r="B978" s="1"/>
      <c r="C978" s="1"/>
      <c r="D978" s="1"/>
      <c r="E978" s="1"/>
      <c r="F978" s="1"/>
    </row>
    <row r="979" ht="15.75" customHeight="1">
      <c r="A979" s="1"/>
      <c r="B979" s="1"/>
      <c r="C979" s="1"/>
      <c r="D979" s="1"/>
      <c r="E979" s="1"/>
      <c r="F979" s="1"/>
    </row>
    <row r="980" ht="15.75" customHeight="1">
      <c r="A980" s="1"/>
      <c r="B980" s="1"/>
      <c r="C980" s="1"/>
      <c r="D980" s="1"/>
      <c r="E980" s="1"/>
      <c r="F980" s="1"/>
    </row>
    <row r="981" ht="15.75" customHeight="1">
      <c r="A981" s="1"/>
      <c r="B981" s="1"/>
      <c r="C981" s="1"/>
      <c r="D981" s="1"/>
      <c r="E981" s="1"/>
      <c r="F981" s="1"/>
    </row>
    <row r="982" ht="15.75" customHeight="1">
      <c r="A982" s="1"/>
      <c r="B982" s="1"/>
      <c r="C982" s="1"/>
      <c r="D982" s="1"/>
      <c r="E982" s="1"/>
      <c r="F982" s="1"/>
    </row>
    <row r="983" ht="15.75" customHeight="1">
      <c r="A983" s="1"/>
      <c r="B983" s="1"/>
      <c r="C983" s="1"/>
      <c r="D983" s="1"/>
      <c r="E983" s="1"/>
      <c r="F983" s="1"/>
    </row>
    <row r="984" ht="15.75" customHeight="1">
      <c r="A984" s="1"/>
      <c r="B984" s="1"/>
      <c r="C984" s="1"/>
      <c r="D984" s="1"/>
      <c r="E984" s="1"/>
      <c r="F984" s="1"/>
    </row>
    <row r="985" ht="15.75" customHeight="1">
      <c r="A985" s="1"/>
      <c r="B985" s="1"/>
      <c r="C985" s="1"/>
      <c r="D985" s="1"/>
      <c r="E985" s="1"/>
      <c r="F985" s="1"/>
    </row>
    <row r="986" ht="15.75" customHeight="1">
      <c r="A986" s="1"/>
      <c r="B986" s="1"/>
      <c r="C986" s="1"/>
      <c r="D986" s="1"/>
      <c r="E986" s="1"/>
      <c r="F986" s="1"/>
    </row>
    <row r="987" ht="15.75" customHeight="1">
      <c r="A987" s="1"/>
      <c r="B987" s="1"/>
      <c r="C987" s="1"/>
      <c r="D987" s="1"/>
      <c r="E987" s="1"/>
      <c r="F987" s="1"/>
    </row>
    <row r="988" ht="15.75" customHeight="1">
      <c r="A988" s="1"/>
      <c r="B988" s="1"/>
      <c r="C988" s="1"/>
      <c r="D988" s="1"/>
      <c r="E988" s="1"/>
      <c r="F988" s="1"/>
    </row>
    <row r="989" ht="15.75" customHeight="1">
      <c r="A989" s="1"/>
      <c r="B989" s="1"/>
      <c r="C989" s="1"/>
      <c r="D989" s="1"/>
      <c r="E989" s="1"/>
      <c r="F989" s="1"/>
    </row>
    <row r="990" ht="15.75" customHeight="1">
      <c r="A990" s="1"/>
      <c r="B990" s="1"/>
      <c r="C990" s="1"/>
      <c r="D990" s="1"/>
      <c r="E990" s="1"/>
      <c r="F990" s="1"/>
    </row>
    <row r="991" ht="15.75" customHeight="1">
      <c r="A991" s="1"/>
      <c r="B991" s="1"/>
      <c r="C991" s="1"/>
      <c r="D991" s="1"/>
      <c r="E991" s="1"/>
      <c r="F991" s="1"/>
    </row>
    <row r="992" ht="15.75" customHeight="1">
      <c r="A992" s="1"/>
      <c r="B992" s="1"/>
      <c r="C992" s="1"/>
      <c r="D992" s="1"/>
      <c r="E992" s="1"/>
      <c r="F992" s="1"/>
    </row>
    <row r="993" ht="15.75" customHeight="1">
      <c r="A993" s="1"/>
      <c r="B993" s="1"/>
      <c r="C993" s="1"/>
      <c r="D993" s="1"/>
      <c r="E993" s="1"/>
      <c r="F993" s="1"/>
    </row>
    <row r="994" ht="15.75" customHeight="1">
      <c r="A994" s="1"/>
      <c r="B994" s="1"/>
      <c r="C994" s="1"/>
      <c r="D994" s="1"/>
      <c r="E994" s="1"/>
      <c r="F994" s="1"/>
    </row>
    <row r="995" ht="15.75" customHeight="1">
      <c r="A995" s="1"/>
      <c r="B995" s="1"/>
      <c r="C995" s="1"/>
      <c r="D995" s="1"/>
      <c r="E995" s="1"/>
      <c r="F995" s="1"/>
    </row>
    <row r="996" ht="15.75" customHeight="1">
      <c r="A996" s="1"/>
      <c r="B996" s="1"/>
      <c r="C996" s="1"/>
      <c r="D996" s="1"/>
      <c r="E996" s="1"/>
      <c r="F996" s="1"/>
    </row>
    <row r="997" ht="15.75" customHeight="1">
      <c r="A997" s="1"/>
      <c r="B997" s="1"/>
      <c r="C997" s="1"/>
      <c r="D997" s="1"/>
      <c r="E997" s="1"/>
      <c r="F997" s="1"/>
    </row>
    <row r="998" ht="15.75" customHeight="1">
      <c r="A998" s="1"/>
      <c r="B998" s="1"/>
      <c r="C998" s="1"/>
      <c r="D998" s="1"/>
      <c r="E998" s="1"/>
      <c r="F998" s="1"/>
    </row>
    <row r="999" ht="15.75" customHeight="1">
      <c r="A999" s="1"/>
      <c r="B999" s="1"/>
      <c r="C999" s="1"/>
      <c r="D999" s="1"/>
      <c r="E999" s="1"/>
      <c r="F999" s="1"/>
    </row>
    <row r="1000" ht="15.75" customHeight="1">
      <c r="A1000" s="1"/>
      <c r="B1000" s="1"/>
      <c r="C1000" s="1"/>
      <c r="D1000" s="1"/>
      <c r="E1000" s="1"/>
      <c r="F1000" s="1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75"/>
    <col customWidth="1" min="2" max="2" width="10.13"/>
    <col customWidth="1" min="3" max="3" width="10.0"/>
    <col customWidth="1" min="4" max="4" width="27.0"/>
    <col customWidth="1" min="5" max="5" width="26.88"/>
    <col customWidth="1" min="6" max="6" width="26.75"/>
    <col customWidth="1" min="7" max="7" width="18.38"/>
    <col customWidth="1" min="8" max="8" width="16.88"/>
  </cols>
  <sheetData>
    <row r="1" ht="12.75" customHeight="1">
      <c r="A1" s="7"/>
      <c r="B1" s="79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ht="12.75" customHeight="1">
      <c r="A2" s="80"/>
      <c r="B2" s="81" t="s">
        <v>55</v>
      </c>
      <c r="C2" s="9"/>
      <c r="D2" s="9"/>
      <c r="E2" s="9"/>
      <c r="F2" s="9"/>
      <c r="G2" s="1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</row>
    <row r="3" ht="12.75" customHeight="1">
      <c r="A3" s="80"/>
      <c r="B3" s="82" t="s">
        <v>17</v>
      </c>
      <c r="C3" s="14" t="s">
        <v>18</v>
      </c>
      <c r="D3" s="15" t="s">
        <v>35</v>
      </c>
      <c r="E3" s="15" t="s">
        <v>45</v>
      </c>
      <c r="F3" s="15" t="s">
        <v>29</v>
      </c>
      <c r="G3" s="15" t="s">
        <v>46</v>
      </c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</row>
    <row r="4" ht="12.75" customHeight="1">
      <c r="A4" s="7"/>
      <c r="B4" s="83">
        <f>input!B16</f>
        <v>45897</v>
      </c>
      <c r="C4" s="61" t="str">
        <f t="shared" ref="C4:C13" si="1">IF(B4="","", "Cálculo")</f>
        <v>Cálculo</v>
      </c>
      <c r="D4" s="84">
        <f>input!D16</f>
        <v>1000</v>
      </c>
      <c r="E4" s="85">
        <f t="array" ref="E4">IFERROR(INDEX(do_not_change__calculation_memo!$I$4:$I$17,MATCH(1,(do_not_change__calculation_memo!$B$4:$B$17=B4)*(do_not_change__calculation_memo!$C$4:$C$17="Venda"),0)),"")</f>
        <v>55.36105123</v>
      </c>
      <c r="F4" s="85">
        <f>input!G16</f>
        <v>81.29</v>
      </c>
      <c r="G4" s="85">
        <f t="shared" ref="G4:G13" si="2">IFERROR(IF(B4="","",D4*F4-D4*E4),0)</f>
        <v>25928.94877</v>
      </c>
      <c r="H4" s="86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ht="12.75" customHeight="1">
      <c r="A5" s="7"/>
      <c r="B5" s="83">
        <f>input!B17</f>
        <v>45915</v>
      </c>
      <c r="C5" s="61" t="str">
        <f t="shared" si="1"/>
        <v>Cálculo</v>
      </c>
      <c r="D5" s="84">
        <f>input!D17</f>
        <v>500</v>
      </c>
      <c r="E5" s="85">
        <f t="array" ref="E5">IFERROR(INDEX(do_not_change__calculation_memo!$I$4:$I$17,MATCH(1,(do_not_change__calculation_memo!$B$4:$B$17=B5)*(do_not_change__calculation_memo!$C$4:$C$17="Venda"),0)),"")</f>
        <v>55.36105123</v>
      </c>
      <c r="F5" s="85">
        <f>input!G17</f>
        <v>85.12</v>
      </c>
      <c r="G5" s="85">
        <f t="shared" si="2"/>
        <v>14879.47439</v>
      </c>
      <c r="H5" s="8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ht="12.75" customHeight="1">
      <c r="A6" s="7"/>
      <c r="B6" s="83">
        <f>input!B18</f>
        <v>45987</v>
      </c>
      <c r="C6" s="61" t="str">
        <f t="shared" si="1"/>
        <v>Cálculo</v>
      </c>
      <c r="D6" s="84">
        <f>input!D18</f>
        <v>500</v>
      </c>
      <c r="E6" s="85">
        <f t="array" ref="E6">IFERROR(INDEX(do_not_change__calculation_memo!$I$4:$I$17,MATCH(1,(do_not_change__calculation_memo!$B$4:$B$17=B6)*(do_not_change__calculation_memo!$C$4:$C$17="Venda"),0)),"")</f>
        <v>60.29435743</v>
      </c>
      <c r="F6" s="85">
        <f>input!G18</f>
        <v>91.27</v>
      </c>
      <c r="G6" s="85">
        <f t="shared" si="2"/>
        <v>15487.82129</v>
      </c>
      <c r="H6" s="86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ht="12.75" customHeight="1">
      <c r="A7" s="7"/>
      <c r="B7" s="83">
        <f>input!B19</f>
        <v>45989</v>
      </c>
      <c r="C7" s="61" t="str">
        <f t="shared" si="1"/>
        <v>Cálculo</v>
      </c>
      <c r="D7" s="84">
        <f>input!D19</f>
        <v>500</v>
      </c>
      <c r="E7" s="85">
        <f t="array" ref="E7">IFERROR(INDEX(do_not_change__calculation_memo!$I$4:$I$17,MATCH(1,(do_not_change__calculation_memo!$B$4:$B$17=B7)*(do_not_change__calculation_memo!$C$4:$C$17="Venda"),0)),"")</f>
        <v>60.29435743</v>
      </c>
      <c r="F7" s="85">
        <f>input!G19</f>
        <v>93.57</v>
      </c>
      <c r="G7" s="85">
        <f t="shared" si="2"/>
        <v>16637.82129</v>
      </c>
      <c r="H7" s="86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ht="12.75" customHeight="1">
      <c r="A8" s="7"/>
      <c r="B8" s="83">
        <f>input!B20</f>
        <v>45989</v>
      </c>
      <c r="C8" s="61" t="str">
        <f t="shared" si="1"/>
        <v>Cálculo</v>
      </c>
      <c r="D8" s="84">
        <f>input!D20</f>
        <v>500</v>
      </c>
      <c r="E8" s="85">
        <f t="array" ref="E8">IFERROR(INDEX(do_not_change__calculation_memo!$I$4:$I$17,MATCH(1,(do_not_change__calculation_memo!$B$4:$B$17=B8)*(do_not_change__calculation_memo!$C$4:$C$17="Venda"),0)),"")</f>
        <v>60.29435743</v>
      </c>
      <c r="F8" s="85">
        <f>input!G20</f>
        <v>93.39</v>
      </c>
      <c r="G8" s="85">
        <f t="shared" si="2"/>
        <v>16547.82129</v>
      </c>
      <c r="H8" s="86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ht="12.75" customHeight="1">
      <c r="A9" s="7"/>
      <c r="B9" s="83" t="str">
        <f>input!B21</f>
        <v/>
      </c>
      <c r="C9" s="61" t="str">
        <f t="shared" si="1"/>
        <v/>
      </c>
      <c r="D9" s="84" t="str">
        <f>input!D21</f>
        <v/>
      </c>
      <c r="E9" s="85" t="str">
        <f t="array" ref="E9">IFERROR(INDEX(do_not_change__calculation_memo!$I$4:$I$17,MATCH(1,(do_not_change__calculation_memo!$B$4:$B$17=B9)*(do_not_change__calculation_memo!$C$4:$C$17="Venda"),0)),"")</f>
        <v/>
      </c>
      <c r="F9" s="85" t="str">
        <f>input!G21</f>
        <v/>
      </c>
      <c r="G9" s="85" t="str">
        <f t="shared" si="2"/>
        <v/>
      </c>
      <c r="H9" s="86"/>
      <c r="I9" s="7"/>
      <c r="J9" s="7"/>
      <c r="L9" s="13"/>
      <c r="M9" s="13"/>
      <c r="N9" s="13"/>
      <c r="O9" s="1"/>
      <c r="S9" s="87"/>
      <c r="T9" s="13"/>
      <c r="U9" s="13"/>
      <c r="V9" s="13"/>
      <c r="W9" s="7"/>
      <c r="X9" s="7"/>
      <c r="Y9" s="7"/>
      <c r="Z9" s="7"/>
      <c r="AA9" s="7"/>
      <c r="AB9" s="7"/>
    </row>
    <row r="10" ht="12.75" customHeight="1">
      <c r="A10" s="7"/>
      <c r="B10" s="83" t="str">
        <f>input!B22</f>
        <v/>
      </c>
      <c r="C10" s="61" t="str">
        <f t="shared" si="1"/>
        <v/>
      </c>
      <c r="D10" s="84" t="str">
        <f>input!D22</f>
        <v/>
      </c>
      <c r="E10" s="85" t="str">
        <f t="array" ref="E10">IFERROR(INDEX(do_not_change__calculation_memo!$I$4:$I$17,MATCH(1,(do_not_change__calculation_memo!$B$4:$B$17=B10)*(do_not_change__calculation_memo!$C$4:$C$17="Venda"),0)),"")</f>
        <v/>
      </c>
      <c r="F10" s="85" t="str">
        <f>input!G22</f>
        <v/>
      </c>
      <c r="G10" s="85" t="str">
        <f t="shared" si="2"/>
        <v/>
      </c>
      <c r="H10" s="86"/>
      <c r="Z10" s="7"/>
      <c r="AA10" s="7"/>
      <c r="AB10" s="7"/>
    </row>
    <row r="11" ht="12.75" customHeight="1">
      <c r="A11" s="7"/>
      <c r="B11" s="83" t="str">
        <f>input!B23</f>
        <v/>
      </c>
      <c r="C11" s="61" t="str">
        <f t="shared" si="1"/>
        <v/>
      </c>
      <c r="D11" s="84" t="str">
        <f>input!D23</f>
        <v/>
      </c>
      <c r="E11" s="85" t="str">
        <f t="array" ref="E11">IFERROR(INDEX(do_not_change__calculation_memo!$I$4:$I$17,MATCH(1,(do_not_change__calculation_memo!$B$4:$B$17=B11)*(do_not_change__calculation_memo!$C$4:$C$17="Venda"),0)),"")</f>
        <v/>
      </c>
      <c r="F11" s="85" t="str">
        <f>input!G23</f>
        <v/>
      </c>
      <c r="G11" s="85" t="str">
        <f t="shared" si="2"/>
        <v/>
      </c>
      <c r="H11" s="86"/>
      <c r="Z11" s="7"/>
      <c r="AA11" s="7"/>
      <c r="AB11" s="7"/>
    </row>
    <row r="12" ht="12.75" customHeight="1">
      <c r="A12" s="7"/>
      <c r="B12" s="83" t="str">
        <f>input!B24</f>
        <v/>
      </c>
      <c r="C12" s="61" t="str">
        <f t="shared" si="1"/>
        <v/>
      </c>
      <c r="D12" s="84" t="str">
        <f>input!D24</f>
        <v/>
      </c>
      <c r="E12" s="85" t="str">
        <f t="array" ref="E12">IFERROR(INDEX(do_not_change__calculation_memo!$I$4:$I$17,MATCH(1,(do_not_change__calculation_memo!$B$4:$B$17=B12)*(do_not_change__calculation_memo!$C$4:$C$17="Venda"),0)),"")</f>
        <v/>
      </c>
      <c r="F12" s="85" t="str">
        <f>input!G24</f>
        <v/>
      </c>
      <c r="G12" s="85" t="str">
        <f t="shared" si="2"/>
        <v/>
      </c>
      <c r="H12" s="86"/>
      <c r="W12" s="7"/>
      <c r="X12" s="7"/>
      <c r="Y12" s="7"/>
      <c r="Z12" s="7"/>
      <c r="AA12" s="7"/>
      <c r="AB12" s="7"/>
    </row>
    <row r="13" ht="12.75" customHeight="1">
      <c r="A13" s="7"/>
      <c r="B13" s="83" t="str">
        <f>input!B25</f>
        <v/>
      </c>
      <c r="C13" s="61" t="str">
        <f t="shared" si="1"/>
        <v/>
      </c>
      <c r="D13" s="84" t="str">
        <f>input!D25</f>
        <v/>
      </c>
      <c r="E13" s="85" t="str">
        <f t="array" ref="E13">IFERROR(INDEX(do_not_change__calculation_memo!$I$4:$I$17,MATCH(1,(do_not_change__calculation_memo!$B$4:$B$17=B13)*(do_not_change__calculation_memo!$C$4:$C$17="Venda"),0)),"")</f>
        <v/>
      </c>
      <c r="F13" s="85" t="str">
        <f>input!G25</f>
        <v/>
      </c>
      <c r="G13" s="85" t="str">
        <f t="shared" si="2"/>
        <v/>
      </c>
      <c r="H13" s="86"/>
      <c r="Z13" s="7"/>
      <c r="AA13" s="7"/>
      <c r="AB13" s="7"/>
    </row>
    <row r="14" ht="12.75" customHeight="1">
      <c r="A14" s="7"/>
      <c r="B14" s="88"/>
      <c r="C14" s="86"/>
      <c r="D14" s="86"/>
      <c r="E14" s="86"/>
      <c r="F14" s="86"/>
      <c r="G14" s="86"/>
      <c r="H14" s="86"/>
      <c r="Z14" s="7"/>
      <c r="AA14" s="7"/>
      <c r="AB14" s="7"/>
    </row>
    <row r="15" ht="12.75" customHeight="1">
      <c r="A15" s="80"/>
      <c r="B15" s="81" t="s">
        <v>56</v>
      </c>
      <c r="C15" s="9"/>
      <c r="D15" s="9"/>
      <c r="E15" s="9"/>
      <c r="F15" s="10"/>
      <c r="G15" s="11" t="s">
        <v>57</v>
      </c>
      <c r="H15" s="12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80"/>
      <c r="X15" s="80"/>
      <c r="Y15" s="80"/>
      <c r="Z15" s="80"/>
      <c r="AA15" s="80"/>
      <c r="AB15" s="80"/>
    </row>
    <row r="16" ht="12.75" customHeight="1">
      <c r="A16" s="80"/>
      <c r="B16" s="82" t="s">
        <v>17</v>
      </c>
      <c r="C16" s="14" t="s">
        <v>18</v>
      </c>
      <c r="D16" s="14" t="s">
        <v>58</v>
      </c>
      <c r="E16" s="14" t="s">
        <v>59</v>
      </c>
      <c r="F16" s="89" t="s">
        <v>60</v>
      </c>
      <c r="G16" s="14" t="s">
        <v>22</v>
      </c>
      <c r="H16" s="14" t="s">
        <v>23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80"/>
      <c r="X16" s="80"/>
      <c r="Y16" s="80"/>
      <c r="Z16" s="80"/>
      <c r="AA16" s="80"/>
      <c r="AB16" s="80"/>
    </row>
    <row r="17" ht="12.75" customHeight="1">
      <c r="A17" s="7"/>
      <c r="B17" s="83">
        <v>46022.0</v>
      </c>
      <c r="C17" s="33" t="s">
        <v>61</v>
      </c>
      <c r="D17" s="90">
        <f t="array" ref="D17">INDEX(do_not_change__calculation_memo!$N$4:$N$17,MATCH(B17,do_not_change__calculation_memo!$B$4:$B$17,1))</f>
        <v>1029</v>
      </c>
      <c r="E17" s="85">
        <f>F17/D17</f>
        <v>60.29435743</v>
      </c>
      <c r="F17" s="85">
        <f t="array" ref="F17">INDEX(do_not_change__calculation_memo!$R$4:$R$17,MATCH(B17,do_not_change__calculation_memo!$B$4:$B$17,1))</f>
        <v>62042.89379</v>
      </c>
      <c r="G17" s="91">
        <f>H17/D17</f>
        <v>11.15315184</v>
      </c>
      <c r="H17" s="91">
        <f t="array" ref="H17">INDEX(do_not_change__calculation_memo!$V$4:$V$17,MATCH(B17,do_not_change__calculation_memo!$B$4:$B$17,1))</f>
        <v>11476.59324</v>
      </c>
      <c r="W17" s="7"/>
      <c r="X17" s="7"/>
      <c r="Y17" s="7"/>
      <c r="Z17" s="7"/>
      <c r="AA17" s="7"/>
      <c r="AB17" s="7"/>
    </row>
    <row r="18" ht="12.75" customHeight="1">
      <c r="A18" s="7"/>
      <c r="B18" s="88"/>
      <c r="C18" s="86"/>
      <c r="D18" s="86"/>
      <c r="E18" s="86"/>
      <c r="F18" s="86"/>
      <c r="G18" s="86"/>
      <c r="H18" s="86"/>
      <c r="W18" s="7"/>
      <c r="X18" s="7"/>
      <c r="Y18" s="7"/>
      <c r="Z18" s="7"/>
      <c r="AA18" s="7"/>
      <c r="AB18" s="7"/>
    </row>
    <row r="19" ht="12.75" customHeight="1">
      <c r="A19" s="7"/>
      <c r="B19" s="92"/>
      <c r="C19" s="8" t="s">
        <v>62</v>
      </c>
      <c r="D19" s="9"/>
      <c r="E19" s="12"/>
      <c r="H19" s="86"/>
      <c r="W19" s="7"/>
      <c r="X19" s="7"/>
      <c r="Y19" s="7"/>
      <c r="Z19" s="7"/>
      <c r="AA19" s="7"/>
      <c r="AB19" s="7"/>
    </row>
    <row r="20" ht="12.75" customHeight="1">
      <c r="A20" s="7"/>
      <c r="B20" s="92"/>
      <c r="C20" s="93" t="s">
        <v>63</v>
      </c>
      <c r="D20" s="9"/>
      <c r="E20" s="12"/>
      <c r="H20" s="86"/>
      <c r="W20" s="7"/>
      <c r="X20" s="7"/>
      <c r="Y20" s="7"/>
      <c r="Z20" s="7"/>
      <c r="AA20" s="7"/>
      <c r="AB20" s="7"/>
    </row>
    <row r="21" ht="12.75" customHeight="1">
      <c r="A21" s="7"/>
      <c r="B21" s="92"/>
      <c r="C21" s="94">
        <f>SUM($G$4:$G$13)</f>
        <v>89481.88702</v>
      </c>
      <c r="D21" s="9"/>
      <c r="E21" s="12"/>
      <c r="H21" s="86"/>
      <c r="W21" s="7"/>
      <c r="X21" s="7"/>
      <c r="Y21" s="7"/>
      <c r="Z21" s="7"/>
      <c r="AA21" s="7"/>
      <c r="AB21" s="7"/>
    </row>
    <row r="22" ht="12.75" customHeight="1">
      <c r="A22" s="7"/>
      <c r="B22" s="88"/>
      <c r="C22" s="86"/>
      <c r="D22" s="86"/>
      <c r="E22" s="86"/>
      <c r="F22" s="86"/>
      <c r="G22" s="86"/>
      <c r="H22" s="86"/>
      <c r="W22" s="7"/>
      <c r="X22" s="7"/>
      <c r="Y22" s="7"/>
      <c r="Z22" s="7"/>
      <c r="AA22" s="7"/>
      <c r="AB22" s="7"/>
    </row>
    <row r="23" ht="12.75" customHeight="1">
      <c r="A23" s="7"/>
      <c r="B23" s="88"/>
      <c r="C23" s="86"/>
      <c r="D23" s="86"/>
      <c r="E23" s="86"/>
      <c r="F23" s="86"/>
      <c r="G23" s="86"/>
      <c r="H23" s="86"/>
      <c r="W23" s="7"/>
      <c r="X23" s="7"/>
      <c r="Y23" s="7"/>
      <c r="Z23" s="7"/>
      <c r="AA23" s="7"/>
      <c r="AB23" s="7"/>
    </row>
    <row r="24" ht="12.75" customHeight="1">
      <c r="A24" s="7"/>
      <c r="B24" s="92"/>
      <c r="C24" s="95" t="str">
        <f> input!D12&amp;" AÇÕES NU HOLDING LTD ADQUIRIDAS POR USD EM 2025 NO VALOR TOTAL DE USD "&amp;input!I12&amp;". EM 2025, FORAM VENDIDAS "&amp; input!D26&amp;" AÇÕES, RESTANDO " &amp;D17  &amp;" NO VALOR TOTAL DE USD " &amp;H17</f>
        <v>1823 AÇÕES NU HOLDING LTD ADQUIRIDAS POR USD EM 2025 NO VALOR TOTAL DE USD 22989,79. EM 2025, FORAM VENDIDAS 3000 AÇÕES, RESTANDO 1029 NO VALOR TOTAL DE USD 11476,5932431656</v>
      </c>
      <c r="D24" s="86"/>
      <c r="F24" s="86"/>
      <c r="G24" s="86"/>
      <c r="H24" s="86"/>
      <c r="W24" s="7"/>
      <c r="X24" s="7"/>
      <c r="Y24" s="7"/>
      <c r="Z24" s="7"/>
      <c r="AA24" s="7"/>
      <c r="AB24" s="7"/>
    </row>
    <row r="25" ht="12.75" customHeight="1">
      <c r="A25" s="7"/>
      <c r="B25" s="88"/>
      <c r="C25" s="86"/>
      <c r="D25" s="86"/>
      <c r="E25" s="86"/>
      <c r="F25" s="86"/>
      <c r="G25" s="86"/>
      <c r="H25" s="86"/>
      <c r="W25" s="7"/>
      <c r="X25" s="7"/>
      <c r="Y25" s="7"/>
      <c r="Z25" s="7"/>
      <c r="AA25" s="7"/>
      <c r="AB25" s="7"/>
    </row>
    <row r="26" ht="12.75" customHeight="1">
      <c r="A26" s="7"/>
      <c r="B26" s="79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ht="12.75" customHeight="1">
      <c r="A27" s="7"/>
      <c r="B27" s="79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t="12.75" customHeight="1">
      <c r="A28" s="7"/>
      <c r="B28" s="79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ht="12.75" customHeight="1">
      <c r="A29" s="7"/>
      <c r="B29" s="79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ht="12.75" customHeight="1">
      <c r="A30" s="7"/>
      <c r="B30" s="79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ht="12.75" customHeight="1">
      <c r="A31" s="7"/>
      <c r="B31" s="79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t="12.75" customHeight="1">
      <c r="A32" s="7"/>
      <c r="B32" s="79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ht="12.75" customHeight="1">
      <c r="A33" s="7"/>
      <c r="B33" s="79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t="12.75" customHeight="1">
      <c r="A34" s="7"/>
      <c r="B34" s="79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ht="12.75" customHeight="1">
      <c r="A35" s="7"/>
      <c r="B35" s="79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t="12.75" customHeight="1">
      <c r="A36" s="7"/>
      <c r="B36" s="79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ht="12.75" customHeight="1">
      <c r="A37" s="7"/>
      <c r="B37" s="79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t="12.75" customHeight="1">
      <c r="A38" s="7"/>
      <c r="B38" s="79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ht="12.75" customHeight="1">
      <c r="A39" s="7"/>
      <c r="B39" s="79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t="12.75" customHeight="1">
      <c r="A40" s="7"/>
      <c r="B40" s="79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ht="12.75" customHeight="1">
      <c r="A41" s="7"/>
      <c r="B41" s="79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ht="12.75" customHeight="1">
      <c r="A42" s="7"/>
      <c r="B42" s="79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ht="12.75" customHeight="1">
      <c r="A43" s="7"/>
      <c r="B43" s="79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t="12.75" customHeight="1">
      <c r="A44" s="7"/>
      <c r="B44" s="79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ht="12.75" customHeight="1">
      <c r="A45" s="7"/>
      <c r="B45" s="79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t="12.75" customHeight="1">
      <c r="A46" s="7"/>
      <c r="B46" s="79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ht="12.75" customHeight="1">
      <c r="A47" s="7"/>
      <c r="B47" s="79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ht="12.75" customHeight="1">
      <c r="A48" s="7"/>
      <c r="B48" s="79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ht="12.75" customHeight="1">
      <c r="A49" s="7"/>
      <c r="B49" s="79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ht="12.75" customHeight="1">
      <c r="A50" s="7"/>
      <c r="B50" s="79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ht="12.75" customHeight="1">
      <c r="A51" s="7"/>
      <c r="B51" s="79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ht="12.75" customHeight="1">
      <c r="A52" s="7"/>
      <c r="B52" s="79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ht="12.75" customHeight="1">
      <c r="A53" s="7"/>
      <c r="B53" s="79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ht="12.75" customHeight="1">
      <c r="A54" s="7"/>
      <c r="B54" s="79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ht="12.75" customHeight="1">
      <c r="A55" s="7"/>
      <c r="B55" s="79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ht="12.75" customHeight="1">
      <c r="A56" s="7"/>
      <c r="B56" s="79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ht="12.75" customHeight="1">
      <c r="A57" s="7"/>
      <c r="B57" s="79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ht="12.75" customHeight="1">
      <c r="A58" s="7"/>
      <c r="B58" s="79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ht="12.75" customHeight="1">
      <c r="A59" s="7"/>
      <c r="B59" s="79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ht="12.75" customHeight="1">
      <c r="A60" s="7"/>
      <c r="B60" s="79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ht="12.75" customHeight="1">
      <c r="A61" s="7"/>
      <c r="B61" s="79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ht="12.75" customHeight="1">
      <c r="A62" s="7"/>
      <c r="B62" s="79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ht="12.75" customHeight="1">
      <c r="A63" s="7"/>
      <c r="B63" s="79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ht="12.75" customHeight="1">
      <c r="A64" s="7"/>
      <c r="B64" s="79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ht="12.75" customHeight="1">
      <c r="A65" s="7"/>
      <c r="B65" s="79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2.75" customHeight="1">
      <c r="A66" s="7"/>
      <c r="B66" s="79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2.75" customHeight="1">
      <c r="A67" s="7"/>
      <c r="B67" s="79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2.75" customHeight="1">
      <c r="A68" s="7"/>
      <c r="B68" s="79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2.75" customHeight="1">
      <c r="A69" s="7"/>
      <c r="B69" s="79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2.75" customHeight="1">
      <c r="A70" s="7"/>
      <c r="B70" s="79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2.75" customHeight="1">
      <c r="A71" s="7"/>
      <c r="B71" s="79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2.75" customHeight="1">
      <c r="A72" s="7"/>
      <c r="B72" s="79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2.75" customHeight="1">
      <c r="A73" s="7"/>
      <c r="B73" s="79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2.75" customHeight="1">
      <c r="A74" s="7"/>
      <c r="B74" s="79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2.75" customHeight="1">
      <c r="A75" s="7"/>
      <c r="B75" s="79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2.75" customHeight="1">
      <c r="A76" s="7"/>
      <c r="B76" s="79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2.75" customHeight="1">
      <c r="A77" s="7"/>
      <c r="B77" s="79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2.75" customHeight="1">
      <c r="A78" s="7"/>
      <c r="B78" s="79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2.75" customHeight="1">
      <c r="A79" s="7"/>
      <c r="B79" s="79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2.75" customHeight="1">
      <c r="A80" s="7"/>
      <c r="B80" s="79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2.75" customHeight="1">
      <c r="A81" s="7"/>
      <c r="B81" s="79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2.75" customHeight="1">
      <c r="A82" s="7"/>
      <c r="B82" s="79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2.75" customHeight="1">
      <c r="A83" s="7"/>
      <c r="B83" s="79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2.75" customHeight="1">
      <c r="A84" s="7"/>
      <c r="B84" s="79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2.75" customHeight="1">
      <c r="A85" s="7"/>
      <c r="B85" s="79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2.75" customHeight="1">
      <c r="A86" s="7"/>
      <c r="B86" s="79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2.75" customHeight="1">
      <c r="A87" s="7"/>
      <c r="B87" s="79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2.75" customHeight="1">
      <c r="A88" s="7"/>
      <c r="B88" s="79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ht="12.75" customHeight="1">
      <c r="A89" s="7"/>
      <c r="B89" s="79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ht="12.75" customHeight="1">
      <c r="A90" s="7"/>
      <c r="B90" s="79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ht="12.75" customHeight="1">
      <c r="A91" s="7"/>
      <c r="B91" s="79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ht="12.75" customHeight="1">
      <c r="A92" s="7"/>
      <c r="B92" s="79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ht="12.75" customHeight="1">
      <c r="A93" s="7"/>
      <c r="B93" s="79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ht="12.75" customHeight="1">
      <c r="A94" s="7"/>
      <c r="B94" s="79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ht="12.75" customHeight="1">
      <c r="A95" s="7"/>
      <c r="B95" s="79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ht="12.75" customHeight="1">
      <c r="A96" s="7"/>
      <c r="B96" s="79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ht="12.75" customHeight="1">
      <c r="A97" s="7"/>
      <c r="B97" s="79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ht="12.75" customHeight="1">
      <c r="A98" s="7"/>
      <c r="B98" s="79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ht="12.75" customHeight="1">
      <c r="A99" s="7"/>
      <c r="B99" s="79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ht="12.75" customHeight="1">
      <c r="A100" s="7"/>
      <c r="B100" s="79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ht="12.75" customHeight="1">
      <c r="A101" s="7"/>
      <c r="B101" s="79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ht="12.75" customHeight="1">
      <c r="A102" s="7"/>
      <c r="B102" s="79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ht="12.75" customHeight="1">
      <c r="A103" s="7"/>
      <c r="B103" s="79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ht="12.75" customHeight="1">
      <c r="A104" s="7"/>
      <c r="B104" s="79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ht="12.75" customHeight="1">
      <c r="A105" s="7"/>
      <c r="B105" s="79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ht="12.75" customHeight="1">
      <c r="A106" s="7"/>
      <c r="B106" s="79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ht="12.75" customHeight="1">
      <c r="A107" s="7"/>
      <c r="B107" s="79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ht="12.75" customHeight="1">
      <c r="A108" s="7"/>
      <c r="B108" s="79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ht="12.75" customHeight="1">
      <c r="A109" s="7"/>
      <c r="B109" s="79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ht="12.75" customHeight="1">
      <c r="A110" s="7"/>
      <c r="B110" s="79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ht="12.75" customHeight="1">
      <c r="A111" s="7"/>
      <c r="B111" s="79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ht="12.75" customHeight="1">
      <c r="A112" s="7"/>
      <c r="B112" s="79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ht="12.75" customHeight="1">
      <c r="A113" s="7"/>
      <c r="B113" s="79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ht="12.75" customHeight="1">
      <c r="A114" s="7"/>
      <c r="B114" s="79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ht="12.75" customHeight="1">
      <c r="A115" s="7"/>
      <c r="B115" s="79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ht="12.75" customHeight="1">
      <c r="A116" s="7"/>
      <c r="B116" s="79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ht="12.75" customHeight="1">
      <c r="A117" s="7"/>
      <c r="B117" s="79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ht="12.75" customHeight="1">
      <c r="A118" s="7"/>
      <c r="B118" s="79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ht="12.75" customHeight="1">
      <c r="A119" s="7"/>
      <c r="B119" s="79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ht="12.75" customHeight="1">
      <c r="A120" s="7"/>
      <c r="B120" s="79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ht="12.75" customHeight="1">
      <c r="A121" s="7"/>
      <c r="B121" s="79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ht="12.75" customHeight="1">
      <c r="A122" s="7"/>
      <c r="B122" s="79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ht="12.75" customHeight="1">
      <c r="A123" s="7"/>
      <c r="B123" s="79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ht="12.75" customHeight="1">
      <c r="A124" s="7"/>
      <c r="B124" s="79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ht="12.75" customHeight="1">
      <c r="A125" s="7"/>
      <c r="B125" s="79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ht="12.75" customHeight="1">
      <c r="A126" s="7"/>
      <c r="B126" s="79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ht="12.75" customHeight="1">
      <c r="A127" s="7"/>
      <c r="B127" s="79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ht="12.75" customHeight="1">
      <c r="A128" s="7"/>
      <c r="B128" s="79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ht="12.75" customHeight="1">
      <c r="A129" s="7"/>
      <c r="B129" s="79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ht="12.75" customHeight="1">
      <c r="A130" s="7"/>
      <c r="B130" s="79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ht="12.75" customHeight="1">
      <c r="A131" s="7"/>
      <c r="B131" s="79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ht="12.75" customHeight="1">
      <c r="A132" s="7"/>
      <c r="B132" s="79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ht="12.75" customHeight="1">
      <c r="A133" s="7"/>
      <c r="B133" s="79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ht="12.75" customHeight="1">
      <c r="A134" s="7"/>
      <c r="B134" s="79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ht="12.75" customHeight="1">
      <c r="A135" s="7"/>
      <c r="B135" s="79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ht="12.75" customHeight="1">
      <c r="A136" s="7"/>
      <c r="B136" s="79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ht="12.75" customHeight="1">
      <c r="A137" s="7"/>
      <c r="B137" s="79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ht="12.75" customHeight="1">
      <c r="A138" s="7"/>
      <c r="B138" s="79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ht="12.75" customHeight="1">
      <c r="A139" s="7"/>
      <c r="B139" s="79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ht="12.75" customHeight="1">
      <c r="A140" s="7"/>
      <c r="B140" s="79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ht="12.75" customHeight="1">
      <c r="A141" s="7"/>
      <c r="B141" s="79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ht="12.75" customHeight="1">
      <c r="A142" s="7"/>
      <c r="B142" s="79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ht="12.75" customHeight="1">
      <c r="A143" s="7"/>
      <c r="B143" s="79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ht="12.75" customHeight="1">
      <c r="A144" s="7"/>
      <c r="B144" s="79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ht="12.75" customHeight="1">
      <c r="A145" s="7"/>
      <c r="B145" s="79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ht="12.75" customHeight="1">
      <c r="A146" s="7"/>
      <c r="B146" s="79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ht="12.75" customHeight="1">
      <c r="A147" s="7"/>
      <c r="B147" s="79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ht="12.75" customHeight="1">
      <c r="A148" s="7"/>
      <c r="B148" s="79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ht="12.75" customHeight="1">
      <c r="A149" s="7"/>
      <c r="B149" s="79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ht="12.75" customHeight="1">
      <c r="A150" s="7"/>
      <c r="B150" s="79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ht="12.75" customHeight="1">
      <c r="A151" s="7"/>
      <c r="B151" s="79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ht="12.75" customHeight="1">
      <c r="A152" s="7"/>
      <c r="B152" s="79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ht="12.75" customHeight="1">
      <c r="A153" s="7"/>
      <c r="B153" s="79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ht="12.75" customHeight="1">
      <c r="A154" s="7"/>
      <c r="B154" s="79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ht="12.75" customHeight="1">
      <c r="A155" s="7"/>
      <c r="B155" s="79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ht="12.75" customHeight="1">
      <c r="A156" s="7"/>
      <c r="B156" s="79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ht="12.75" customHeight="1">
      <c r="A157" s="7"/>
      <c r="B157" s="79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ht="12.75" customHeight="1">
      <c r="A158" s="7"/>
      <c r="B158" s="79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ht="12.75" customHeight="1">
      <c r="A159" s="7"/>
      <c r="B159" s="79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ht="12.75" customHeight="1">
      <c r="A160" s="7"/>
      <c r="B160" s="79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ht="12.75" customHeight="1">
      <c r="A161" s="7"/>
      <c r="B161" s="79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ht="12.75" customHeight="1">
      <c r="A162" s="7"/>
      <c r="B162" s="79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ht="12.75" customHeight="1">
      <c r="A163" s="7"/>
      <c r="B163" s="79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ht="12.75" customHeight="1">
      <c r="A164" s="7"/>
      <c r="B164" s="79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ht="12.75" customHeight="1">
      <c r="A165" s="7"/>
      <c r="B165" s="79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ht="12.75" customHeight="1">
      <c r="A166" s="7"/>
      <c r="B166" s="79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ht="12.75" customHeight="1">
      <c r="A167" s="7"/>
      <c r="B167" s="79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ht="12.75" customHeight="1">
      <c r="A168" s="7"/>
      <c r="B168" s="79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ht="12.75" customHeight="1">
      <c r="A169" s="7"/>
      <c r="B169" s="79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ht="12.75" customHeight="1">
      <c r="A170" s="7"/>
      <c r="B170" s="79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ht="12.75" customHeight="1">
      <c r="A171" s="7"/>
      <c r="B171" s="79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ht="12.75" customHeight="1">
      <c r="A172" s="7"/>
      <c r="B172" s="79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ht="12.75" customHeight="1">
      <c r="A173" s="7"/>
      <c r="B173" s="79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ht="12.75" customHeight="1">
      <c r="A174" s="7"/>
      <c r="B174" s="79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ht="12.75" customHeight="1">
      <c r="A175" s="7"/>
      <c r="B175" s="79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ht="12.75" customHeight="1">
      <c r="A176" s="7"/>
      <c r="B176" s="79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ht="12.75" customHeight="1">
      <c r="A177" s="7"/>
      <c r="B177" s="79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ht="12.75" customHeight="1">
      <c r="A178" s="7"/>
      <c r="B178" s="79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ht="12.75" customHeight="1">
      <c r="A179" s="7"/>
      <c r="B179" s="79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ht="12.75" customHeight="1">
      <c r="A180" s="7"/>
      <c r="B180" s="79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ht="12.75" customHeight="1">
      <c r="A181" s="7"/>
      <c r="B181" s="79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ht="12.75" customHeight="1">
      <c r="A182" s="7"/>
      <c r="B182" s="79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ht="12.75" customHeight="1">
      <c r="A183" s="7"/>
      <c r="B183" s="79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ht="12.75" customHeight="1">
      <c r="A184" s="7"/>
      <c r="B184" s="79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ht="12.75" customHeight="1">
      <c r="A185" s="7"/>
      <c r="B185" s="79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ht="12.75" customHeight="1">
      <c r="A186" s="7"/>
      <c r="B186" s="79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ht="12.75" customHeight="1">
      <c r="A187" s="7"/>
      <c r="B187" s="79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ht="12.75" customHeight="1">
      <c r="A188" s="7"/>
      <c r="B188" s="79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ht="12.75" customHeight="1">
      <c r="A189" s="7"/>
      <c r="B189" s="79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ht="12.75" customHeight="1">
      <c r="A190" s="7"/>
      <c r="B190" s="79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ht="12.75" customHeight="1">
      <c r="A191" s="7"/>
      <c r="B191" s="79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ht="12.75" customHeight="1">
      <c r="A192" s="7"/>
      <c r="B192" s="79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ht="12.75" customHeight="1">
      <c r="A193" s="7"/>
      <c r="B193" s="79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ht="12.75" customHeight="1">
      <c r="A194" s="7"/>
      <c r="B194" s="79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ht="12.75" customHeight="1">
      <c r="A195" s="7"/>
      <c r="B195" s="79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ht="12.75" customHeight="1">
      <c r="A196" s="7"/>
      <c r="B196" s="79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ht="12.75" customHeight="1">
      <c r="A197" s="7"/>
      <c r="B197" s="79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ht="12.75" customHeight="1">
      <c r="A198" s="7"/>
      <c r="B198" s="79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ht="12.75" customHeight="1">
      <c r="A199" s="7"/>
      <c r="B199" s="79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ht="12.75" customHeight="1">
      <c r="A200" s="7"/>
      <c r="B200" s="79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ht="12.75" customHeight="1">
      <c r="A201" s="7"/>
      <c r="B201" s="79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ht="12.75" customHeight="1">
      <c r="A202" s="7"/>
      <c r="B202" s="79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ht="12.75" customHeight="1">
      <c r="A203" s="7"/>
      <c r="B203" s="79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ht="12.75" customHeight="1">
      <c r="A204" s="7"/>
      <c r="B204" s="79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ht="12.75" customHeight="1">
      <c r="A205" s="7"/>
      <c r="B205" s="79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ht="12.75" customHeight="1">
      <c r="A206" s="7"/>
      <c r="B206" s="79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ht="12.75" customHeight="1">
      <c r="A207" s="7"/>
      <c r="B207" s="79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ht="12.75" customHeight="1">
      <c r="A208" s="7"/>
      <c r="B208" s="79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ht="12.75" customHeight="1">
      <c r="A209" s="7"/>
      <c r="B209" s="79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ht="12.75" customHeight="1">
      <c r="A210" s="7"/>
      <c r="B210" s="79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ht="12.75" customHeight="1">
      <c r="A211" s="7"/>
      <c r="B211" s="79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ht="12.75" customHeight="1">
      <c r="A212" s="7"/>
      <c r="B212" s="79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ht="12.75" customHeight="1">
      <c r="A213" s="7"/>
      <c r="B213" s="79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ht="12.75" customHeight="1">
      <c r="A214" s="7"/>
      <c r="B214" s="79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ht="12.75" customHeight="1">
      <c r="A215" s="7"/>
      <c r="B215" s="79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ht="12.75" customHeight="1">
      <c r="A216" s="7"/>
      <c r="B216" s="79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</row>
    <row r="217" ht="12.75" customHeight="1">
      <c r="A217" s="7"/>
      <c r="B217" s="79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</row>
    <row r="218" ht="12.75" customHeight="1">
      <c r="A218" s="7"/>
      <c r="B218" s="79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</row>
    <row r="219" ht="12.75" customHeight="1">
      <c r="A219" s="7"/>
      <c r="B219" s="79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</row>
    <row r="220" ht="12.75" customHeight="1">
      <c r="A220" s="7"/>
      <c r="B220" s="79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</row>
    <row r="221" ht="12.75" customHeight="1">
      <c r="A221" s="7"/>
      <c r="B221" s="79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</row>
    <row r="222" ht="15.75" customHeight="1">
      <c r="A222" s="1"/>
      <c r="B222" s="96"/>
      <c r="C222" s="1"/>
      <c r="D222" s="1"/>
      <c r="E222" s="1"/>
      <c r="F222" s="1"/>
      <c r="G222" s="1"/>
      <c r="H222" s="1"/>
    </row>
    <row r="223" ht="15.75" customHeight="1">
      <c r="A223" s="1"/>
      <c r="B223" s="96"/>
      <c r="C223" s="1"/>
      <c r="D223" s="1"/>
      <c r="E223" s="1"/>
      <c r="F223" s="1"/>
      <c r="G223" s="1"/>
      <c r="H223" s="1"/>
    </row>
    <row r="224" ht="15.75" customHeight="1">
      <c r="A224" s="1"/>
      <c r="B224" s="96"/>
      <c r="C224" s="1"/>
      <c r="D224" s="1"/>
      <c r="E224" s="1"/>
      <c r="F224" s="1"/>
      <c r="G224" s="1"/>
      <c r="H224" s="1"/>
    </row>
    <row r="225" ht="15.75" customHeight="1">
      <c r="A225" s="1"/>
      <c r="B225" s="96"/>
      <c r="C225" s="1"/>
      <c r="D225" s="1"/>
      <c r="E225" s="1"/>
      <c r="F225" s="1"/>
      <c r="G225" s="1"/>
      <c r="H225" s="1"/>
    </row>
    <row r="226" ht="15.75" customHeight="1">
      <c r="A226" s="1"/>
      <c r="B226" s="96"/>
      <c r="C226" s="1"/>
      <c r="D226" s="1"/>
      <c r="E226" s="1"/>
      <c r="F226" s="1"/>
      <c r="G226" s="1"/>
      <c r="H226" s="1"/>
    </row>
    <row r="227" ht="15.75" customHeight="1">
      <c r="A227" s="1"/>
      <c r="B227" s="96"/>
      <c r="C227" s="1"/>
      <c r="D227" s="1"/>
      <c r="E227" s="1"/>
      <c r="F227" s="1"/>
      <c r="G227" s="1"/>
      <c r="H227" s="1"/>
    </row>
    <row r="228" ht="15.75" customHeight="1">
      <c r="A228" s="1"/>
      <c r="B228" s="96"/>
      <c r="C228" s="1"/>
      <c r="D228" s="1"/>
      <c r="E228" s="1"/>
      <c r="F228" s="1"/>
      <c r="G228" s="1"/>
      <c r="H228" s="1"/>
    </row>
    <row r="229" ht="15.75" customHeight="1">
      <c r="A229" s="1"/>
      <c r="B229" s="96"/>
      <c r="C229" s="1"/>
      <c r="D229" s="1"/>
      <c r="E229" s="1"/>
      <c r="F229" s="1"/>
      <c r="G229" s="1"/>
      <c r="H229" s="1"/>
    </row>
    <row r="230" ht="15.75" customHeight="1">
      <c r="A230" s="1"/>
      <c r="B230" s="96"/>
      <c r="C230" s="1"/>
      <c r="D230" s="1"/>
      <c r="E230" s="1"/>
      <c r="F230" s="1"/>
      <c r="G230" s="1"/>
      <c r="H230" s="1"/>
    </row>
    <row r="231" ht="15.75" customHeight="1">
      <c r="A231" s="1"/>
      <c r="B231" s="96"/>
      <c r="C231" s="1"/>
      <c r="D231" s="1"/>
      <c r="E231" s="1"/>
      <c r="F231" s="1"/>
      <c r="G231" s="1"/>
      <c r="H231" s="1"/>
    </row>
    <row r="232" ht="15.75" customHeight="1">
      <c r="A232" s="1"/>
      <c r="B232" s="96"/>
      <c r="C232" s="1"/>
      <c r="D232" s="1"/>
      <c r="E232" s="1"/>
      <c r="F232" s="1"/>
      <c r="G232" s="1"/>
      <c r="H232" s="1"/>
    </row>
    <row r="233" ht="15.75" customHeight="1">
      <c r="A233" s="1"/>
      <c r="B233" s="96"/>
      <c r="C233" s="1"/>
      <c r="D233" s="1"/>
      <c r="E233" s="1"/>
      <c r="F233" s="1"/>
      <c r="G233" s="1"/>
      <c r="H233" s="1"/>
    </row>
    <row r="234" ht="15.75" customHeight="1">
      <c r="A234" s="1"/>
      <c r="B234" s="96"/>
      <c r="C234" s="1"/>
      <c r="D234" s="1"/>
      <c r="E234" s="1"/>
      <c r="F234" s="1"/>
      <c r="G234" s="1"/>
      <c r="H234" s="1"/>
    </row>
    <row r="235" ht="15.75" customHeight="1">
      <c r="A235" s="1"/>
      <c r="B235" s="96"/>
      <c r="C235" s="1"/>
      <c r="D235" s="1"/>
      <c r="E235" s="1"/>
      <c r="F235" s="1"/>
      <c r="G235" s="1"/>
      <c r="H235" s="1"/>
    </row>
    <row r="236" ht="15.75" customHeight="1">
      <c r="A236" s="1"/>
      <c r="B236" s="96"/>
      <c r="C236" s="1"/>
      <c r="D236" s="1"/>
      <c r="E236" s="1"/>
      <c r="F236" s="1"/>
      <c r="G236" s="1"/>
      <c r="H236" s="1"/>
    </row>
    <row r="237" ht="15.75" customHeight="1">
      <c r="A237" s="1"/>
      <c r="B237" s="96"/>
      <c r="C237" s="1"/>
      <c r="D237" s="1"/>
      <c r="E237" s="1"/>
      <c r="F237" s="1"/>
      <c r="G237" s="1"/>
      <c r="H237" s="1"/>
    </row>
    <row r="238" ht="15.75" customHeight="1">
      <c r="A238" s="1"/>
      <c r="B238" s="96"/>
      <c r="C238" s="1"/>
      <c r="D238" s="1"/>
      <c r="E238" s="1"/>
      <c r="F238" s="1"/>
      <c r="G238" s="1"/>
      <c r="H238" s="1"/>
    </row>
    <row r="239" ht="15.75" customHeight="1">
      <c r="A239" s="1"/>
      <c r="B239" s="96"/>
      <c r="C239" s="1"/>
      <c r="D239" s="1"/>
      <c r="E239" s="1"/>
      <c r="F239" s="1"/>
      <c r="G239" s="1"/>
      <c r="H239" s="1"/>
    </row>
    <row r="240" ht="15.75" customHeight="1">
      <c r="A240" s="1"/>
      <c r="B240" s="96"/>
      <c r="C240" s="1"/>
      <c r="D240" s="1"/>
      <c r="E240" s="1"/>
      <c r="F240" s="1"/>
      <c r="G240" s="1"/>
      <c r="H240" s="1"/>
    </row>
    <row r="241" ht="15.75" customHeight="1">
      <c r="A241" s="1"/>
      <c r="B241" s="96"/>
      <c r="C241" s="1"/>
      <c r="D241" s="1"/>
      <c r="E241" s="1"/>
      <c r="F241" s="1"/>
      <c r="G241" s="1"/>
      <c r="H241" s="1"/>
    </row>
    <row r="242" ht="15.75" customHeight="1">
      <c r="A242" s="1"/>
      <c r="B242" s="96"/>
      <c r="C242" s="1"/>
      <c r="D242" s="1"/>
      <c r="E242" s="1"/>
      <c r="F242" s="1"/>
      <c r="G242" s="1"/>
      <c r="H242" s="1"/>
    </row>
    <row r="243" ht="15.75" customHeight="1">
      <c r="A243" s="1"/>
      <c r="B243" s="96"/>
      <c r="C243" s="1"/>
      <c r="D243" s="1"/>
      <c r="E243" s="1"/>
      <c r="F243" s="1"/>
      <c r="G243" s="1"/>
      <c r="H243" s="1"/>
    </row>
    <row r="244" ht="15.75" customHeight="1">
      <c r="A244" s="1"/>
      <c r="B244" s="96"/>
      <c r="C244" s="1"/>
      <c r="D244" s="1"/>
      <c r="E244" s="1"/>
      <c r="F244" s="1"/>
      <c r="G244" s="1"/>
      <c r="H244" s="1"/>
    </row>
    <row r="245" ht="15.75" customHeight="1">
      <c r="A245" s="1"/>
      <c r="B245" s="96"/>
      <c r="C245" s="1"/>
      <c r="D245" s="1"/>
      <c r="E245" s="1"/>
      <c r="F245" s="1"/>
      <c r="G245" s="1"/>
      <c r="H245" s="1"/>
    </row>
    <row r="246" ht="15.75" customHeight="1">
      <c r="A246" s="1"/>
      <c r="B246" s="96"/>
      <c r="C246" s="1"/>
      <c r="D246" s="1"/>
      <c r="E246" s="1"/>
      <c r="F246" s="1"/>
      <c r="G246" s="1"/>
      <c r="H246" s="1"/>
    </row>
    <row r="247" ht="15.75" customHeight="1">
      <c r="A247" s="1"/>
      <c r="B247" s="96"/>
      <c r="C247" s="1"/>
      <c r="D247" s="1"/>
      <c r="E247" s="1"/>
      <c r="F247" s="1"/>
      <c r="G247" s="1"/>
      <c r="H247" s="1"/>
    </row>
    <row r="248" ht="15.75" customHeight="1">
      <c r="A248" s="1"/>
      <c r="B248" s="96"/>
      <c r="C248" s="1"/>
      <c r="D248" s="1"/>
      <c r="E248" s="1"/>
      <c r="F248" s="1"/>
      <c r="G248" s="1"/>
      <c r="H248" s="1"/>
    </row>
    <row r="249" ht="15.75" customHeight="1">
      <c r="A249" s="1"/>
      <c r="B249" s="96"/>
      <c r="C249" s="1"/>
      <c r="D249" s="1"/>
      <c r="E249" s="1"/>
      <c r="F249" s="1"/>
      <c r="G249" s="1"/>
      <c r="H249" s="1"/>
    </row>
    <row r="250" ht="15.75" customHeight="1">
      <c r="A250" s="1"/>
      <c r="B250" s="96"/>
      <c r="C250" s="1"/>
      <c r="D250" s="1"/>
      <c r="E250" s="1"/>
      <c r="F250" s="1"/>
      <c r="G250" s="1"/>
      <c r="H250" s="1"/>
    </row>
    <row r="251" ht="15.75" customHeight="1">
      <c r="A251" s="1"/>
      <c r="B251" s="96"/>
      <c r="C251" s="1"/>
      <c r="D251" s="1"/>
      <c r="E251" s="1"/>
      <c r="F251" s="1"/>
      <c r="G251" s="1"/>
      <c r="H251" s="1"/>
    </row>
    <row r="252" ht="15.75" customHeight="1">
      <c r="A252" s="1"/>
      <c r="B252" s="96"/>
      <c r="C252" s="1"/>
      <c r="D252" s="1"/>
      <c r="E252" s="1"/>
      <c r="F252" s="1"/>
      <c r="G252" s="1"/>
      <c r="H252" s="1"/>
    </row>
    <row r="253" ht="15.75" customHeight="1">
      <c r="A253" s="1"/>
      <c r="B253" s="96"/>
      <c r="C253" s="1"/>
      <c r="D253" s="1"/>
      <c r="E253" s="1"/>
      <c r="F253" s="1"/>
      <c r="G253" s="1"/>
      <c r="H253" s="1"/>
    </row>
    <row r="254" ht="15.75" customHeight="1">
      <c r="A254" s="1"/>
      <c r="B254" s="96"/>
      <c r="C254" s="1"/>
      <c r="D254" s="1"/>
      <c r="E254" s="1"/>
      <c r="F254" s="1"/>
      <c r="G254" s="1"/>
      <c r="H254" s="1"/>
    </row>
    <row r="255" ht="15.75" customHeight="1">
      <c r="A255" s="1"/>
      <c r="B255" s="96"/>
      <c r="C255" s="1"/>
      <c r="D255" s="1"/>
      <c r="E255" s="1"/>
      <c r="F255" s="1"/>
      <c r="G255" s="1"/>
      <c r="H255" s="1"/>
    </row>
    <row r="256" ht="15.75" customHeight="1">
      <c r="A256" s="1"/>
      <c r="B256" s="96"/>
      <c r="C256" s="1"/>
      <c r="D256" s="1"/>
      <c r="E256" s="1"/>
      <c r="F256" s="1"/>
      <c r="G256" s="1"/>
      <c r="H256" s="1"/>
    </row>
    <row r="257" ht="15.75" customHeight="1">
      <c r="A257" s="1"/>
      <c r="B257" s="96"/>
      <c r="C257" s="1"/>
      <c r="D257" s="1"/>
      <c r="E257" s="1"/>
      <c r="F257" s="1"/>
      <c r="G257" s="1"/>
      <c r="H257" s="1"/>
    </row>
    <row r="258" ht="15.75" customHeight="1">
      <c r="A258" s="1"/>
      <c r="B258" s="96"/>
      <c r="C258" s="1"/>
      <c r="D258" s="1"/>
      <c r="E258" s="1"/>
      <c r="F258" s="1"/>
      <c r="G258" s="1"/>
      <c r="H258" s="1"/>
    </row>
    <row r="259" ht="15.75" customHeight="1">
      <c r="A259" s="1"/>
      <c r="B259" s="96"/>
      <c r="C259" s="1"/>
      <c r="D259" s="1"/>
      <c r="E259" s="1"/>
      <c r="F259" s="1"/>
      <c r="G259" s="1"/>
      <c r="H259" s="1"/>
    </row>
    <row r="260" ht="15.75" customHeight="1">
      <c r="A260" s="1"/>
      <c r="B260" s="96"/>
      <c r="C260" s="1"/>
      <c r="D260" s="1"/>
      <c r="E260" s="1"/>
      <c r="F260" s="1"/>
      <c r="G260" s="1"/>
      <c r="H260" s="1"/>
    </row>
    <row r="261" ht="15.75" customHeight="1">
      <c r="A261" s="1"/>
      <c r="B261" s="96"/>
      <c r="C261" s="1"/>
      <c r="D261" s="1"/>
      <c r="E261" s="1"/>
      <c r="F261" s="1"/>
      <c r="G261" s="1"/>
      <c r="H261" s="1"/>
    </row>
    <row r="262" ht="15.75" customHeight="1">
      <c r="A262" s="1"/>
      <c r="B262" s="96"/>
      <c r="C262" s="1"/>
      <c r="D262" s="1"/>
      <c r="E262" s="1"/>
      <c r="F262" s="1"/>
      <c r="G262" s="1"/>
      <c r="H262" s="1"/>
    </row>
    <row r="263" ht="15.75" customHeight="1">
      <c r="A263" s="1"/>
      <c r="B263" s="96"/>
      <c r="C263" s="1"/>
      <c r="D263" s="1"/>
      <c r="E263" s="1"/>
      <c r="F263" s="1"/>
      <c r="G263" s="1"/>
      <c r="H263" s="1"/>
    </row>
    <row r="264" ht="15.75" customHeight="1">
      <c r="A264" s="1"/>
      <c r="B264" s="96"/>
      <c r="C264" s="1"/>
      <c r="D264" s="1"/>
      <c r="E264" s="1"/>
      <c r="F264" s="1"/>
      <c r="G264" s="1"/>
      <c r="H264" s="1"/>
    </row>
    <row r="265" ht="15.75" customHeight="1">
      <c r="A265" s="1"/>
      <c r="B265" s="96"/>
      <c r="C265" s="1"/>
      <c r="D265" s="1"/>
      <c r="E265" s="1"/>
      <c r="F265" s="1"/>
      <c r="G265" s="1"/>
      <c r="H265" s="1"/>
    </row>
    <row r="266" ht="15.75" customHeight="1">
      <c r="A266" s="1"/>
      <c r="B266" s="96"/>
      <c r="C266" s="1"/>
      <c r="D266" s="1"/>
      <c r="E266" s="1"/>
      <c r="F266" s="1"/>
      <c r="G266" s="1"/>
      <c r="H266" s="1"/>
    </row>
    <row r="267" ht="15.75" customHeight="1">
      <c r="A267" s="1"/>
      <c r="B267" s="96"/>
      <c r="C267" s="1"/>
      <c r="D267" s="1"/>
      <c r="E267" s="1"/>
      <c r="F267" s="1"/>
      <c r="G267" s="1"/>
      <c r="H267" s="1"/>
    </row>
    <row r="268" ht="15.75" customHeight="1">
      <c r="A268" s="1"/>
      <c r="B268" s="96"/>
      <c r="C268" s="1"/>
      <c r="D268" s="1"/>
      <c r="E268" s="1"/>
      <c r="F268" s="1"/>
      <c r="G268" s="1"/>
      <c r="H268" s="1"/>
    </row>
    <row r="269" ht="15.75" customHeight="1">
      <c r="A269" s="1"/>
      <c r="B269" s="96"/>
      <c r="C269" s="1"/>
      <c r="D269" s="1"/>
      <c r="E269" s="1"/>
      <c r="F269" s="1"/>
      <c r="G269" s="1"/>
      <c r="H269" s="1"/>
    </row>
    <row r="270" ht="15.75" customHeight="1">
      <c r="A270" s="1"/>
      <c r="B270" s="96"/>
      <c r="C270" s="1"/>
      <c r="D270" s="1"/>
      <c r="E270" s="1"/>
      <c r="F270" s="1"/>
      <c r="G270" s="1"/>
      <c r="H270" s="1"/>
    </row>
    <row r="271" ht="15.75" customHeight="1">
      <c r="A271" s="1"/>
      <c r="B271" s="96"/>
      <c r="C271" s="1"/>
      <c r="D271" s="1"/>
      <c r="E271" s="1"/>
      <c r="F271" s="1"/>
      <c r="G271" s="1"/>
      <c r="H271" s="1"/>
    </row>
    <row r="272" ht="15.75" customHeight="1">
      <c r="A272" s="1"/>
      <c r="B272" s="96"/>
      <c r="C272" s="1"/>
      <c r="D272" s="1"/>
      <c r="E272" s="1"/>
      <c r="F272" s="1"/>
      <c r="G272" s="1"/>
      <c r="H272" s="1"/>
    </row>
    <row r="273" ht="15.75" customHeight="1">
      <c r="A273" s="1"/>
      <c r="B273" s="96"/>
      <c r="C273" s="1"/>
      <c r="D273" s="1"/>
      <c r="E273" s="1"/>
      <c r="F273" s="1"/>
      <c r="G273" s="1"/>
      <c r="H273" s="1"/>
    </row>
    <row r="274" ht="15.75" customHeight="1">
      <c r="A274" s="1"/>
      <c r="B274" s="96"/>
      <c r="C274" s="1"/>
      <c r="D274" s="1"/>
      <c r="E274" s="1"/>
      <c r="F274" s="1"/>
      <c r="G274" s="1"/>
      <c r="H274" s="1"/>
    </row>
    <row r="275" ht="15.75" customHeight="1">
      <c r="A275" s="1"/>
      <c r="B275" s="96"/>
      <c r="C275" s="1"/>
      <c r="D275" s="1"/>
      <c r="E275" s="1"/>
      <c r="F275" s="1"/>
      <c r="G275" s="1"/>
      <c r="H275" s="1"/>
    </row>
    <row r="276" ht="15.75" customHeight="1">
      <c r="A276" s="1"/>
      <c r="B276" s="96"/>
      <c r="C276" s="1"/>
      <c r="D276" s="1"/>
      <c r="E276" s="1"/>
      <c r="F276" s="1"/>
      <c r="G276" s="1"/>
      <c r="H276" s="1"/>
    </row>
    <row r="277" ht="15.75" customHeight="1">
      <c r="A277" s="1"/>
      <c r="B277" s="96"/>
      <c r="C277" s="1"/>
      <c r="D277" s="1"/>
      <c r="E277" s="1"/>
      <c r="F277" s="1"/>
      <c r="G277" s="1"/>
      <c r="H277" s="1"/>
    </row>
    <row r="278" ht="15.75" customHeight="1">
      <c r="A278" s="1"/>
      <c r="B278" s="96"/>
      <c r="C278" s="1"/>
      <c r="D278" s="1"/>
      <c r="E278" s="1"/>
      <c r="F278" s="1"/>
      <c r="G278" s="1"/>
      <c r="H278" s="1"/>
    </row>
    <row r="279" ht="15.75" customHeight="1">
      <c r="A279" s="1"/>
      <c r="B279" s="96"/>
      <c r="C279" s="1"/>
      <c r="D279" s="1"/>
      <c r="E279" s="1"/>
      <c r="F279" s="1"/>
      <c r="G279" s="1"/>
      <c r="H279" s="1"/>
    </row>
    <row r="280" ht="15.75" customHeight="1">
      <c r="A280" s="1"/>
      <c r="B280" s="96"/>
      <c r="C280" s="1"/>
      <c r="D280" s="1"/>
      <c r="E280" s="1"/>
      <c r="F280" s="1"/>
      <c r="G280" s="1"/>
      <c r="H280" s="1"/>
    </row>
    <row r="281" ht="15.75" customHeight="1">
      <c r="A281" s="1"/>
      <c r="B281" s="96"/>
      <c r="C281" s="1"/>
      <c r="D281" s="1"/>
      <c r="E281" s="1"/>
      <c r="F281" s="1"/>
      <c r="G281" s="1"/>
      <c r="H281" s="1"/>
    </row>
    <row r="282" ht="15.75" customHeight="1">
      <c r="A282" s="1"/>
      <c r="B282" s="96"/>
      <c r="C282" s="1"/>
      <c r="D282" s="1"/>
      <c r="E282" s="1"/>
      <c r="F282" s="1"/>
      <c r="G282" s="1"/>
      <c r="H282" s="1"/>
    </row>
    <row r="283" ht="15.75" customHeight="1">
      <c r="A283" s="1"/>
      <c r="B283" s="96"/>
      <c r="C283" s="1"/>
      <c r="D283" s="1"/>
      <c r="E283" s="1"/>
      <c r="F283" s="1"/>
      <c r="G283" s="1"/>
      <c r="H283" s="1"/>
    </row>
    <row r="284" ht="15.75" customHeight="1">
      <c r="A284" s="1"/>
      <c r="B284" s="96"/>
      <c r="C284" s="1"/>
      <c r="D284" s="1"/>
      <c r="E284" s="1"/>
      <c r="F284" s="1"/>
      <c r="G284" s="1"/>
      <c r="H284" s="1"/>
    </row>
    <row r="285" ht="15.75" customHeight="1">
      <c r="A285" s="1"/>
      <c r="B285" s="96"/>
      <c r="C285" s="1"/>
      <c r="D285" s="1"/>
      <c r="E285" s="1"/>
      <c r="F285" s="1"/>
      <c r="G285" s="1"/>
      <c r="H285" s="1"/>
    </row>
    <row r="286" ht="15.75" customHeight="1">
      <c r="A286" s="1"/>
      <c r="B286" s="96"/>
      <c r="C286" s="1"/>
      <c r="D286" s="1"/>
      <c r="E286" s="1"/>
      <c r="F286" s="1"/>
      <c r="G286" s="1"/>
      <c r="H286" s="1"/>
    </row>
    <row r="287" ht="15.75" customHeight="1">
      <c r="A287" s="1"/>
      <c r="B287" s="96"/>
      <c r="C287" s="1"/>
      <c r="D287" s="1"/>
      <c r="E287" s="1"/>
      <c r="F287" s="1"/>
      <c r="G287" s="1"/>
      <c r="H287" s="1"/>
    </row>
    <row r="288" ht="15.75" customHeight="1">
      <c r="A288" s="1"/>
      <c r="B288" s="96"/>
      <c r="C288" s="1"/>
      <c r="D288" s="1"/>
      <c r="E288" s="1"/>
      <c r="F288" s="1"/>
      <c r="G288" s="1"/>
      <c r="H288" s="1"/>
    </row>
    <row r="289" ht="15.75" customHeight="1">
      <c r="A289" s="1"/>
      <c r="B289" s="96"/>
      <c r="C289" s="1"/>
      <c r="D289" s="1"/>
      <c r="E289" s="1"/>
      <c r="F289" s="1"/>
      <c r="G289" s="1"/>
      <c r="H289" s="1"/>
    </row>
    <row r="290" ht="15.75" customHeight="1">
      <c r="A290" s="1"/>
      <c r="B290" s="96"/>
      <c r="C290" s="1"/>
      <c r="D290" s="1"/>
      <c r="E290" s="1"/>
      <c r="F290" s="1"/>
      <c r="G290" s="1"/>
      <c r="H290" s="1"/>
    </row>
    <row r="291" ht="15.75" customHeight="1">
      <c r="A291" s="1"/>
      <c r="B291" s="96"/>
      <c r="C291" s="1"/>
      <c r="D291" s="1"/>
      <c r="E291" s="1"/>
      <c r="F291" s="1"/>
      <c r="G291" s="1"/>
      <c r="H291" s="1"/>
    </row>
    <row r="292" ht="15.75" customHeight="1">
      <c r="A292" s="1"/>
      <c r="B292" s="96"/>
      <c r="C292" s="1"/>
      <c r="D292" s="1"/>
      <c r="E292" s="1"/>
      <c r="F292" s="1"/>
      <c r="G292" s="1"/>
      <c r="H292" s="1"/>
    </row>
    <row r="293" ht="15.75" customHeight="1">
      <c r="A293" s="1"/>
      <c r="B293" s="96"/>
      <c r="C293" s="1"/>
      <c r="D293" s="1"/>
      <c r="E293" s="1"/>
      <c r="F293" s="1"/>
      <c r="G293" s="1"/>
      <c r="H293" s="1"/>
    </row>
    <row r="294" ht="15.75" customHeight="1">
      <c r="A294" s="1"/>
      <c r="B294" s="96"/>
      <c r="C294" s="1"/>
      <c r="D294" s="1"/>
      <c r="E294" s="1"/>
      <c r="F294" s="1"/>
      <c r="G294" s="1"/>
      <c r="H294" s="1"/>
    </row>
    <row r="295" ht="15.75" customHeight="1">
      <c r="A295" s="1"/>
      <c r="B295" s="96"/>
      <c r="C295" s="1"/>
      <c r="D295" s="1"/>
      <c r="E295" s="1"/>
      <c r="F295" s="1"/>
      <c r="G295" s="1"/>
      <c r="H295" s="1"/>
    </row>
    <row r="296" ht="15.75" customHeight="1">
      <c r="A296" s="1"/>
      <c r="B296" s="96"/>
      <c r="C296" s="1"/>
      <c r="D296" s="1"/>
      <c r="E296" s="1"/>
      <c r="F296" s="1"/>
      <c r="G296" s="1"/>
      <c r="H296" s="1"/>
    </row>
    <row r="297" ht="15.75" customHeight="1">
      <c r="A297" s="1"/>
      <c r="B297" s="96"/>
      <c r="C297" s="1"/>
      <c r="D297" s="1"/>
      <c r="E297" s="1"/>
      <c r="F297" s="1"/>
      <c r="G297" s="1"/>
      <c r="H297" s="1"/>
    </row>
    <row r="298" ht="15.75" customHeight="1">
      <c r="A298" s="1"/>
      <c r="B298" s="96"/>
      <c r="C298" s="1"/>
      <c r="D298" s="1"/>
      <c r="E298" s="1"/>
      <c r="F298" s="1"/>
      <c r="G298" s="1"/>
      <c r="H298" s="1"/>
    </row>
    <row r="299" ht="15.75" customHeight="1">
      <c r="A299" s="1"/>
      <c r="B299" s="96"/>
      <c r="C299" s="1"/>
      <c r="D299" s="1"/>
      <c r="E299" s="1"/>
      <c r="F299" s="1"/>
      <c r="G299" s="1"/>
      <c r="H299" s="1"/>
    </row>
    <row r="300" ht="15.75" customHeight="1">
      <c r="A300" s="1"/>
      <c r="B300" s="96"/>
      <c r="C300" s="1"/>
      <c r="D300" s="1"/>
      <c r="E300" s="1"/>
      <c r="F300" s="1"/>
      <c r="G300" s="1"/>
      <c r="H300" s="1"/>
    </row>
    <row r="301" ht="15.75" customHeight="1">
      <c r="A301" s="1"/>
      <c r="B301" s="96"/>
      <c r="C301" s="1"/>
      <c r="D301" s="1"/>
      <c r="E301" s="1"/>
      <c r="F301" s="1"/>
      <c r="G301" s="1"/>
      <c r="H301" s="1"/>
    </row>
    <row r="302" ht="15.75" customHeight="1">
      <c r="A302" s="1"/>
      <c r="B302" s="96"/>
      <c r="C302" s="1"/>
      <c r="D302" s="1"/>
      <c r="E302" s="1"/>
      <c r="F302" s="1"/>
      <c r="G302" s="1"/>
      <c r="H302" s="1"/>
    </row>
    <row r="303" ht="15.75" customHeight="1">
      <c r="A303" s="1"/>
      <c r="B303" s="96"/>
      <c r="C303" s="1"/>
      <c r="D303" s="1"/>
      <c r="E303" s="1"/>
      <c r="F303" s="1"/>
      <c r="G303" s="1"/>
      <c r="H303" s="1"/>
    </row>
    <row r="304" ht="15.75" customHeight="1">
      <c r="A304" s="1"/>
      <c r="B304" s="96"/>
      <c r="C304" s="1"/>
      <c r="D304" s="1"/>
      <c r="E304" s="1"/>
      <c r="F304" s="1"/>
      <c r="G304" s="1"/>
      <c r="H304" s="1"/>
    </row>
    <row r="305" ht="15.75" customHeight="1">
      <c r="A305" s="1"/>
      <c r="B305" s="96"/>
      <c r="C305" s="1"/>
      <c r="D305" s="1"/>
      <c r="E305" s="1"/>
      <c r="F305" s="1"/>
      <c r="G305" s="1"/>
      <c r="H305" s="1"/>
    </row>
    <row r="306" ht="15.75" customHeight="1">
      <c r="A306" s="1"/>
      <c r="B306" s="96"/>
      <c r="C306" s="1"/>
      <c r="D306" s="1"/>
      <c r="E306" s="1"/>
      <c r="F306" s="1"/>
      <c r="G306" s="1"/>
      <c r="H306" s="1"/>
    </row>
    <row r="307" ht="15.75" customHeight="1">
      <c r="A307" s="1"/>
      <c r="B307" s="96"/>
      <c r="C307" s="1"/>
      <c r="D307" s="1"/>
      <c r="E307" s="1"/>
      <c r="F307" s="1"/>
      <c r="G307" s="1"/>
      <c r="H307" s="1"/>
    </row>
    <row r="308" ht="15.75" customHeight="1">
      <c r="A308" s="1"/>
      <c r="B308" s="96"/>
      <c r="C308" s="1"/>
      <c r="D308" s="1"/>
      <c r="E308" s="1"/>
      <c r="F308" s="1"/>
      <c r="G308" s="1"/>
      <c r="H308" s="1"/>
    </row>
    <row r="309" ht="15.75" customHeight="1">
      <c r="A309" s="1"/>
      <c r="B309" s="96"/>
      <c r="C309" s="1"/>
      <c r="D309" s="1"/>
      <c r="E309" s="1"/>
      <c r="F309" s="1"/>
      <c r="G309" s="1"/>
      <c r="H309" s="1"/>
    </row>
    <row r="310" ht="15.75" customHeight="1">
      <c r="A310" s="1"/>
      <c r="B310" s="96"/>
      <c r="C310" s="1"/>
      <c r="D310" s="1"/>
      <c r="E310" s="1"/>
      <c r="F310" s="1"/>
      <c r="G310" s="1"/>
      <c r="H310" s="1"/>
    </row>
    <row r="311" ht="15.75" customHeight="1">
      <c r="A311" s="1"/>
      <c r="B311" s="96"/>
      <c r="C311" s="1"/>
      <c r="D311" s="1"/>
      <c r="E311" s="1"/>
      <c r="F311" s="1"/>
      <c r="G311" s="1"/>
      <c r="H311" s="1"/>
    </row>
    <row r="312" ht="15.75" customHeight="1">
      <c r="A312" s="1"/>
      <c r="B312" s="96"/>
      <c r="C312" s="1"/>
      <c r="D312" s="1"/>
      <c r="E312" s="1"/>
      <c r="F312" s="1"/>
      <c r="G312" s="1"/>
      <c r="H312" s="1"/>
    </row>
    <row r="313" ht="15.75" customHeight="1">
      <c r="A313" s="1"/>
      <c r="B313" s="96"/>
      <c r="C313" s="1"/>
      <c r="D313" s="1"/>
      <c r="E313" s="1"/>
      <c r="F313" s="1"/>
      <c r="G313" s="1"/>
      <c r="H313" s="1"/>
    </row>
    <row r="314" ht="15.75" customHeight="1">
      <c r="A314" s="1"/>
      <c r="B314" s="96"/>
      <c r="C314" s="1"/>
      <c r="D314" s="1"/>
      <c r="E314" s="1"/>
      <c r="F314" s="1"/>
      <c r="G314" s="1"/>
      <c r="H314" s="1"/>
    </row>
    <row r="315" ht="15.75" customHeight="1">
      <c r="A315" s="1"/>
      <c r="B315" s="96"/>
      <c r="C315" s="1"/>
      <c r="D315" s="1"/>
      <c r="E315" s="1"/>
      <c r="F315" s="1"/>
      <c r="G315" s="1"/>
      <c r="H315" s="1"/>
    </row>
    <row r="316" ht="15.75" customHeight="1">
      <c r="A316" s="1"/>
      <c r="B316" s="96"/>
      <c r="C316" s="1"/>
      <c r="D316" s="1"/>
      <c r="E316" s="1"/>
      <c r="F316" s="1"/>
      <c r="G316" s="1"/>
      <c r="H316" s="1"/>
    </row>
    <row r="317" ht="15.75" customHeight="1">
      <c r="A317" s="1"/>
      <c r="B317" s="96"/>
      <c r="C317" s="1"/>
      <c r="D317" s="1"/>
      <c r="E317" s="1"/>
      <c r="F317" s="1"/>
      <c r="G317" s="1"/>
      <c r="H317" s="1"/>
    </row>
    <row r="318" ht="15.75" customHeight="1">
      <c r="A318" s="1"/>
      <c r="B318" s="96"/>
      <c r="C318" s="1"/>
      <c r="D318" s="1"/>
      <c r="E318" s="1"/>
      <c r="F318" s="1"/>
      <c r="G318" s="1"/>
      <c r="H318" s="1"/>
    </row>
    <row r="319" ht="15.75" customHeight="1">
      <c r="A319" s="1"/>
      <c r="B319" s="96"/>
      <c r="C319" s="1"/>
      <c r="D319" s="1"/>
      <c r="E319" s="1"/>
      <c r="F319" s="1"/>
      <c r="G319" s="1"/>
      <c r="H319" s="1"/>
    </row>
    <row r="320" ht="15.75" customHeight="1">
      <c r="A320" s="1"/>
      <c r="B320" s="96"/>
      <c r="C320" s="1"/>
      <c r="D320" s="1"/>
      <c r="E320" s="1"/>
      <c r="F320" s="1"/>
      <c r="G320" s="1"/>
      <c r="H320" s="1"/>
    </row>
    <row r="321" ht="15.75" customHeight="1">
      <c r="A321" s="1"/>
      <c r="B321" s="96"/>
      <c r="C321" s="1"/>
      <c r="D321" s="1"/>
      <c r="E321" s="1"/>
      <c r="F321" s="1"/>
      <c r="G321" s="1"/>
      <c r="H321" s="1"/>
    </row>
    <row r="322" ht="15.75" customHeight="1">
      <c r="A322" s="1"/>
      <c r="B322" s="96"/>
      <c r="C322" s="1"/>
      <c r="D322" s="1"/>
      <c r="E322" s="1"/>
      <c r="F322" s="1"/>
      <c r="G322" s="1"/>
      <c r="H322" s="1"/>
    </row>
    <row r="323" ht="15.75" customHeight="1">
      <c r="A323" s="1"/>
      <c r="B323" s="96"/>
      <c r="C323" s="1"/>
      <c r="D323" s="1"/>
      <c r="E323" s="1"/>
      <c r="F323" s="1"/>
      <c r="G323" s="1"/>
      <c r="H323" s="1"/>
    </row>
    <row r="324" ht="15.75" customHeight="1">
      <c r="A324" s="1"/>
      <c r="B324" s="96"/>
      <c r="C324" s="1"/>
      <c r="D324" s="1"/>
      <c r="E324" s="1"/>
      <c r="F324" s="1"/>
      <c r="G324" s="1"/>
      <c r="H324" s="1"/>
    </row>
    <row r="325" ht="15.75" customHeight="1">
      <c r="A325" s="1"/>
      <c r="B325" s="96"/>
      <c r="C325" s="1"/>
      <c r="D325" s="1"/>
      <c r="E325" s="1"/>
      <c r="F325" s="1"/>
      <c r="G325" s="1"/>
      <c r="H325" s="1"/>
    </row>
    <row r="326" ht="15.75" customHeight="1">
      <c r="A326" s="1"/>
      <c r="B326" s="96"/>
      <c r="C326" s="1"/>
      <c r="D326" s="1"/>
      <c r="E326" s="1"/>
      <c r="F326" s="1"/>
      <c r="G326" s="1"/>
      <c r="H326" s="1"/>
    </row>
    <row r="327" ht="15.75" customHeight="1">
      <c r="A327" s="1"/>
      <c r="B327" s="96"/>
      <c r="C327" s="1"/>
      <c r="D327" s="1"/>
      <c r="E327" s="1"/>
      <c r="F327" s="1"/>
      <c r="G327" s="1"/>
      <c r="H327" s="1"/>
    </row>
    <row r="328" ht="15.75" customHeight="1">
      <c r="A328" s="1"/>
      <c r="B328" s="96"/>
      <c r="C328" s="1"/>
      <c r="D328" s="1"/>
      <c r="E328" s="1"/>
      <c r="F328" s="1"/>
      <c r="G328" s="1"/>
      <c r="H328" s="1"/>
    </row>
    <row r="329" ht="15.75" customHeight="1">
      <c r="A329" s="1"/>
      <c r="B329" s="96"/>
      <c r="C329" s="1"/>
      <c r="D329" s="1"/>
      <c r="E329" s="1"/>
      <c r="F329" s="1"/>
      <c r="G329" s="1"/>
      <c r="H329" s="1"/>
    </row>
    <row r="330" ht="15.75" customHeight="1">
      <c r="A330" s="1"/>
      <c r="B330" s="96"/>
      <c r="C330" s="1"/>
      <c r="D330" s="1"/>
      <c r="E330" s="1"/>
      <c r="F330" s="1"/>
      <c r="G330" s="1"/>
      <c r="H330" s="1"/>
    </row>
    <row r="331" ht="15.75" customHeight="1">
      <c r="A331" s="1"/>
      <c r="B331" s="96"/>
      <c r="C331" s="1"/>
      <c r="D331" s="1"/>
      <c r="E331" s="1"/>
      <c r="F331" s="1"/>
      <c r="G331" s="1"/>
      <c r="H331" s="1"/>
    </row>
    <row r="332" ht="15.75" customHeight="1">
      <c r="A332" s="1"/>
      <c r="B332" s="96"/>
      <c r="C332" s="1"/>
      <c r="D332" s="1"/>
      <c r="E332" s="1"/>
      <c r="F332" s="1"/>
      <c r="G332" s="1"/>
      <c r="H332" s="1"/>
    </row>
    <row r="333" ht="15.75" customHeight="1">
      <c r="A333" s="1"/>
      <c r="B333" s="96"/>
      <c r="C333" s="1"/>
      <c r="D333" s="1"/>
      <c r="E333" s="1"/>
      <c r="F333" s="1"/>
      <c r="G333" s="1"/>
      <c r="H333" s="1"/>
    </row>
    <row r="334" ht="15.75" customHeight="1">
      <c r="A334" s="1"/>
      <c r="B334" s="96"/>
      <c r="C334" s="1"/>
      <c r="D334" s="1"/>
      <c r="E334" s="1"/>
      <c r="F334" s="1"/>
      <c r="G334" s="1"/>
      <c r="H334" s="1"/>
    </row>
    <row r="335" ht="15.75" customHeight="1">
      <c r="A335" s="1"/>
      <c r="B335" s="96"/>
      <c r="C335" s="1"/>
      <c r="D335" s="1"/>
      <c r="E335" s="1"/>
      <c r="F335" s="1"/>
      <c r="G335" s="1"/>
      <c r="H335" s="1"/>
    </row>
    <row r="336" ht="15.75" customHeight="1">
      <c r="A336" s="1"/>
      <c r="B336" s="96"/>
      <c r="C336" s="1"/>
      <c r="D336" s="1"/>
      <c r="E336" s="1"/>
      <c r="F336" s="1"/>
      <c r="G336" s="1"/>
      <c r="H336" s="1"/>
    </row>
    <row r="337" ht="15.75" customHeight="1">
      <c r="A337" s="1"/>
      <c r="B337" s="96"/>
      <c r="C337" s="1"/>
      <c r="D337" s="1"/>
      <c r="E337" s="1"/>
      <c r="F337" s="1"/>
      <c r="G337" s="1"/>
      <c r="H337" s="1"/>
    </row>
    <row r="338" ht="15.75" customHeight="1">
      <c r="A338" s="1"/>
      <c r="B338" s="96"/>
      <c r="C338" s="1"/>
      <c r="D338" s="1"/>
      <c r="E338" s="1"/>
      <c r="F338" s="1"/>
      <c r="G338" s="1"/>
      <c r="H338" s="1"/>
    </row>
    <row r="339" ht="15.75" customHeight="1">
      <c r="A339" s="1"/>
      <c r="B339" s="96"/>
      <c r="C339" s="1"/>
      <c r="D339" s="1"/>
      <c r="E339" s="1"/>
      <c r="F339" s="1"/>
      <c r="G339" s="1"/>
      <c r="H339" s="1"/>
    </row>
    <row r="340" ht="15.75" customHeight="1">
      <c r="A340" s="1"/>
      <c r="B340" s="96"/>
      <c r="C340" s="1"/>
      <c r="D340" s="1"/>
      <c r="E340" s="1"/>
      <c r="F340" s="1"/>
      <c r="G340" s="1"/>
      <c r="H340" s="1"/>
    </row>
    <row r="341" ht="15.75" customHeight="1">
      <c r="A341" s="1"/>
      <c r="B341" s="96"/>
      <c r="C341" s="1"/>
      <c r="D341" s="1"/>
      <c r="E341" s="1"/>
      <c r="F341" s="1"/>
      <c r="G341" s="1"/>
      <c r="H341" s="1"/>
    </row>
    <row r="342" ht="15.75" customHeight="1">
      <c r="A342" s="1"/>
      <c r="B342" s="96"/>
      <c r="C342" s="1"/>
      <c r="D342" s="1"/>
      <c r="E342" s="1"/>
      <c r="F342" s="1"/>
      <c r="G342" s="1"/>
      <c r="H342" s="1"/>
    </row>
    <row r="343" ht="15.75" customHeight="1">
      <c r="A343" s="1"/>
      <c r="B343" s="96"/>
      <c r="C343" s="1"/>
      <c r="D343" s="1"/>
      <c r="E343" s="1"/>
      <c r="F343" s="1"/>
      <c r="G343" s="1"/>
      <c r="H343" s="1"/>
    </row>
    <row r="344" ht="15.75" customHeight="1">
      <c r="A344" s="1"/>
      <c r="B344" s="96"/>
      <c r="C344" s="1"/>
      <c r="D344" s="1"/>
      <c r="E344" s="1"/>
      <c r="F344" s="1"/>
      <c r="G344" s="1"/>
      <c r="H344" s="1"/>
    </row>
    <row r="345" ht="15.75" customHeight="1">
      <c r="A345" s="1"/>
      <c r="B345" s="96"/>
      <c r="C345" s="1"/>
      <c r="D345" s="1"/>
      <c r="E345" s="1"/>
      <c r="F345" s="1"/>
      <c r="G345" s="1"/>
      <c r="H345" s="1"/>
    </row>
    <row r="346" ht="15.75" customHeight="1">
      <c r="A346" s="1"/>
      <c r="B346" s="96"/>
      <c r="C346" s="1"/>
      <c r="D346" s="1"/>
      <c r="E346" s="1"/>
      <c r="F346" s="1"/>
      <c r="G346" s="1"/>
      <c r="H346" s="1"/>
    </row>
    <row r="347" ht="15.75" customHeight="1">
      <c r="A347" s="1"/>
      <c r="B347" s="96"/>
      <c r="C347" s="1"/>
      <c r="D347" s="1"/>
      <c r="E347" s="1"/>
      <c r="F347" s="1"/>
      <c r="G347" s="1"/>
      <c r="H347" s="1"/>
    </row>
    <row r="348" ht="15.75" customHeight="1">
      <c r="A348" s="1"/>
      <c r="B348" s="96"/>
      <c r="C348" s="1"/>
      <c r="D348" s="1"/>
      <c r="E348" s="1"/>
      <c r="F348" s="1"/>
      <c r="G348" s="1"/>
      <c r="H348" s="1"/>
    </row>
    <row r="349" ht="15.75" customHeight="1">
      <c r="A349" s="1"/>
      <c r="B349" s="96"/>
      <c r="C349" s="1"/>
      <c r="D349" s="1"/>
      <c r="E349" s="1"/>
      <c r="F349" s="1"/>
      <c r="G349" s="1"/>
      <c r="H349" s="1"/>
    </row>
    <row r="350" ht="15.75" customHeight="1">
      <c r="A350" s="1"/>
      <c r="B350" s="96"/>
      <c r="C350" s="1"/>
      <c r="D350" s="1"/>
      <c r="E350" s="1"/>
      <c r="F350" s="1"/>
      <c r="G350" s="1"/>
      <c r="H350" s="1"/>
    </row>
    <row r="351" ht="15.75" customHeight="1">
      <c r="A351" s="1"/>
      <c r="B351" s="96"/>
      <c r="C351" s="1"/>
      <c r="D351" s="1"/>
      <c r="E351" s="1"/>
      <c r="F351" s="1"/>
      <c r="G351" s="1"/>
      <c r="H351" s="1"/>
    </row>
    <row r="352" ht="15.75" customHeight="1">
      <c r="A352" s="1"/>
      <c r="B352" s="96"/>
      <c r="C352" s="1"/>
      <c r="D352" s="1"/>
      <c r="E352" s="1"/>
      <c r="F352" s="1"/>
      <c r="G352" s="1"/>
      <c r="H352" s="1"/>
    </row>
    <row r="353" ht="15.75" customHeight="1">
      <c r="A353" s="1"/>
      <c r="B353" s="96"/>
      <c r="C353" s="1"/>
      <c r="D353" s="1"/>
      <c r="E353" s="1"/>
      <c r="F353" s="1"/>
      <c r="G353" s="1"/>
      <c r="H353" s="1"/>
    </row>
    <row r="354" ht="15.75" customHeight="1">
      <c r="A354" s="1"/>
      <c r="B354" s="96"/>
      <c r="C354" s="1"/>
      <c r="D354" s="1"/>
      <c r="E354" s="1"/>
      <c r="F354" s="1"/>
      <c r="G354" s="1"/>
      <c r="H354" s="1"/>
    </row>
    <row r="355" ht="15.75" customHeight="1">
      <c r="A355" s="1"/>
      <c r="B355" s="96"/>
      <c r="C355" s="1"/>
      <c r="D355" s="1"/>
      <c r="E355" s="1"/>
      <c r="F355" s="1"/>
      <c r="G355" s="1"/>
      <c r="H355" s="1"/>
    </row>
    <row r="356" ht="15.75" customHeight="1">
      <c r="A356" s="1"/>
      <c r="B356" s="96"/>
      <c r="C356" s="1"/>
      <c r="D356" s="1"/>
      <c r="E356" s="1"/>
      <c r="F356" s="1"/>
      <c r="G356" s="1"/>
      <c r="H356" s="1"/>
    </row>
    <row r="357" ht="15.75" customHeight="1">
      <c r="A357" s="1"/>
      <c r="B357" s="96"/>
      <c r="C357" s="1"/>
      <c r="D357" s="1"/>
      <c r="E357" s="1"/>
      <c r="F357" s="1"/>
      <c r="G357" s="1"/>
      <c r="H357" s="1"/>
    </row>
    <row r="358" ht="15.75" customHeight="1">
      <c r="A358" s="1"/>
      <c r="B358" s="96"/>
      <c r="C358" s="1"/>
      <c r="D358" s="1"/>
      <c r="E358" s="1"/>
      <c r="F358" s="1"/>
      <c r="G358" s="1"/>
      <c r="H358" s="1"/>
    </row>
    <row r="359" ht="15.75" customHeight="1">
      <c r="A359" s="1"/>
      <c r="B359" s="96"/>
      <c r="C359" s="1"/>
      <c r="D359" s="1"/>
      <c r="E359" s="1"/>
      <c r="F359" s="1"/>
      <c r="G359" s="1"/>
      <c r="H359" s="1"/>
    </row>
    <row r="360" ht="15.75" customHeight="1">
      <c r="A360" s="1"/>
      <c r="B360" s="96"/>
      <c r="C360" s="1"/>
      <c r="D360" s="1"/>
      <c r="E360" s="1"/>
      <c r="F360" s="1"/>
      <c r="G360" s="1"/>
      <c r="H360" s="1"/>
    </row>
    <row r="361" ht="15.75" customHeight="1">
      <c r="A361" s="1"/>
      <c r="B361" s="96"/>
      <c r="C361" s="1"/>
      <c r="D361" s="1"/>
      <c r="E361" s="1"/>
      <c r="F361" s="1"/>
      <c r="G361" s="1"/>
      <c r="H361" s="1"/>
    </row>
    <row r="362" ht="15.75" customHeight="1">
      <c r="A362" s="1"/>
      <c r="B362" s="96"/>
      <c r="C362" s="1"/>
      <c r="D362" s="1"/>
      <c r="E362" s="1"/>
      <c r="F362" s="1"/>
      <c r="G362" s="1"/>
      <c r="H362" s="1"/>
    </row>
    <row r="363" ht="15.75" customHeight="1">
      <c r="A363" s="1"/>
      <c r="B363" s="96"/>
      <c r="C363" s="1"/>
      <c r="D363" s="1"/>
      <c r="E363" s="1"/>
      <c r="F363" s="1"/>
      <c r="G363" s="1"/>
      <c r="H363" s="1"/>
    </row>
    <row r="364" ht="15.75" customHeight="1">
      <c r="A364" s="1"/>
      <c r="B364" s="96"/>
      <c r="C364" s="1"/>
      <c r="D364" s="1"/>
      <c r="E364" s="1"/>
      <c r="F364" s="1"/>
      <c r="G364" s="1"/>
      <c r="H364" s="1"/>
    </row>
    <row r="365" ht="15.75" customHeight="1">
      <c r="A365" s="1"/>
      <c r="B365" s="96"/>
      <c r="C365" s="1"/>
      <c r="D365" s="1"/>
      <c r="E365" s="1"/>
      <c r="F365" s="1"/>
      <c r="G365" s="1"/>
      <c r="H365" s="1"/>
    </row>
    <row r="366" ht="15.75" customHeight="1">
      <c r="A366" s="1"/>
      <c r="B366" s="96"/>
      <c r="C366" s="1"/>
      <c r="D366" s="1"/>
      <c r="E366" s="1"/>
      <c r="F366" s="1"/>
      <c r="G366" s="1"/>
      <c r="H366" s="1"/>
    </row>
    <row r="367" ht="15.75" customHeight="1">
      <c r="A367" s="1"/>
      <c r="B367" s="96"/>
      <c r="C367" s="1"/>
      <c r="D367" s="1"/>
      <c r="E367" s="1"/>
      <c r="F367" s="1"/>
      <c r="G367" s="1"/>
      <c r="H367" s="1"/>
    </row>
    <row r="368" ht="15.75" customHeight="1">
      <c r="A368" s="1"/>
      <c r="B368" s="96"/>
      <c r="C368" s="1"/>
      <c r="D368" s="1"/>
      <c r="E368" s="1"/>
      <c r="F368" s="1"/>
      <c r="G368" s="1"/>
      <c r="H368" s="1"/>
    </row>
    <row r="369" ht="15.75" customHeight="1">
      <c r="A369" s="1"/>
      <c r="B369" s="96"/>
      <c r="C369" s="1"/>
      <c r="D369" s="1"/>
      <c r="E369" s="1"/>
      <c r="F369" s="1"/>
      <c r="G369" s="1"/>
      <c r="H369" s="1"/>
    </row>
    <row r="370" ht="15.75" customHeight="1">
      <c r="A370" s="1"/>
      <c r="B370" s="96"/>
      <c r="C370" s="1"/>
      <c r="D370" s="1"/>
      <c r="E370" s="1"/>
      <c r="F370" s="1"/>
      <c r="G370" s="1"/>
      <c r="H370" s="1"/>
    </row>
    <row r="371" ht="15.75" customHeight="1">
      <c r="A371" s="1"/>
      <c r="B371" s="96"/>
      <c r="C371" s="1"/>
      <c r="D371" s="1"/>
      <c r="E371" s="1"/>
      <c r="F371" s="1"/>
      <c r="G371" s="1"/>
      <c r="H371" s="1"/>
    </row>
    <row r="372" ht="15.75" customHeight="1">
      <c r="A372" s="1"/>
      <c r="B372" s="96"/>
      <c r="C372" s="1"/>
      <c r="D372" s="1"/>
      <c r="E372" s="1"/>
      <c r="F372" s="1"/>
      <c r="G372" s="1"/>
      <c r="H372" s="1"/>
    </row>
    <row r="373" ht="15.75" customHeight="1">
      <c r="A373" s="1"/>
      <c r="B373" s="96"/>
      <c r="C373" s="1"/>
      <c r="D373" s="1"/>
      <c r="E373" s="1"/>
      <c r="F373" s="1"/>
      <c r="G373" s="1"/>
      <c r="H373" s="1"/>
    </row>
    <row r="374" ht="15.75" customHeight="1">
      <c r="A374" s="1"/>
      <c r="B374" s="96"/>
      <c r="C374" s="1"/>
      <c r="D374" s="1"/>
      <c r="E374" s="1"/>
      <c r="F374" s="1"/>
      <c r="G374" s="1"/>
      <c r="H374" s="1"/>
    </row>
    <row r="375" ht="15.75" customHeight="1">
      <c r="A375" s="1"/>
      <c r="B375" s="96"/>
      <c r="C375" s="1"/>
      <c r="D375" s="1"/>
      <c r="E375" s="1"/>
      <c r="F375" s="1"/>
      <c r="G375" s="1"/>
      <c r="H375" s="1"/>
    </row>
    <row r="376" ht="15.75" customHeight="1">
      <c r="A376" s="1"/>
      <c r="B376" s="96"/>
      <c r="C376" s="1"/>
      <c r="D376" s="1"/>
      <c r="E376" s="1"/>
      <c r="F376" s="1"/>
      <c r="G376" s="1"/>
      <c r="H376" s="1"/>
    </row>
    <row r="377" ht="15.75" customHeight="1">
      <c r="A377" s="1"/>
      <c r="B377" s="96"/>
      <c r="C377" s="1"/>
      <c r="D377" s="1"/>
      <c r="E377" s="1"/>
      <c r="F377" s="1"/>
      <c r="G377" s="1"/>
      <c r="H377" s="1"/>
    </row>
    <row r="378" ht="15.75" customHeight="1">
      <c r="A378" s="1"/>
      <c r="B378" s="96"/>
      <c r="C378" s="1"/>
      <c r="D378" s="1"/>
      <c r="E378" s="1"/>
      <c r="F378" s="1"/>
      <c r="G378" s="1"/>
      <c r="H378" s="1"/>
    </row>
    <row r="379" ht="15.75" customHeight="1">
      <c r="A379" s="1"/>
      <c r="B379" s="96"/>
      <c r="C379" s="1"/>
      <c r="D379" s="1"/>
      <c r="E379" s="1"/>
      <c r="F379" s="1"/>
      <c r="G379" s="1"/>
      <c r="H379" s="1"/>
    </row>
    <row r="380" ht="15.75" customHeight="1">
      <c r="A380" s="1"/>
      <c r="B380" s="96"/>
      <c r="C380" s="1"/>
      <c r="D380" s="1"/>
      <c r="E380" s="1"/>
      <c r="F380" s="1"/>
      <c r="G380" s="1"/>
      <c r="H380" s="1"/>
    </row>
    <row r="381" ht="15.75" customHeight="1">
      <c r="A381" s="1"/>
      <c r="B381" s="96"/>
      <c r="C381" s="1"/>
      <c r="D381" s="1"/>
      <c r="E381" s="1"/>
      <c r="F381" s="1"/>
      <c r="G381" s="1"/>
      <c r="H381" s="1"/>
    </row>
    <row r="382" ht="15.75" customHeight="1">
      <c r="A382" s="1"/>
      <c r="B382" s="96"/>
      <c r="C382" s="1"/>
      <c r="D382" s="1"/>
      <c r="E382" s="1"/>
      <c r="F382" s="1"/>
      <c r="G382" s="1"/>
      <c r="H382" s="1"/>
    </row>
    <row r="383" ht="15.75" customHeight="1">
      <c r="A383" s="1"/>
      <c r="B383" s="96"/>
      <c r="C383" s="1"/>
      <c r="D383" s="1"/>
      <c r="E383" s="1"/>
      <c r="F383" s="1"/>
      <c r="G383" s="1"/>
      <c r="H383" s="1"/>
    </row>
    <row r="384" ht="15.75" customHeight="1">
      <c r="A384" s="1"/>
      <c r="B384" s="96"/>
      <c r="C384" s="1"/>
      <c r="D384" s="1"/>
      <c r="E384" s="1"/>
      <c r="F384" s="1"/>
      <c r="G384" s="1"/>
      <c r="H384" s="1"/>
    </row>
    <row r="385" ht="15.75" customHeight="1">
      <c r="A385" s="1"/>
      <c r="B385" s="96"/>
      <c r="C385" s="1"/>
      <c r="D385" s="1"/>
      <c r="E385" s="1"/>
      <c r="F385" s="1"/>
      <c r="G385" s="1"/>
      <c r="H385" s="1"/>
    </row>
    <row r="386" ht="15.75" customHeight="1">
      <c r="A386" s="1"/>
      <c r="B386" s="96"/>
      <c r="C386" s="1"/>
      <c r="D386" s="1"/>
      <c r="E386" s="1"/>
      <c r="F386" s="1"/>
      <c r="G386" s="1"/>
      <c r="H386" s="1"/>
    </row>
    <row r="387" ht="15.75" customHeight="1">
      <c r="A387" s="1"/>
      <c r="B387" s="96"/>
      <c r="C387" s="1"/>
      <c r="D387" s="1"/>
      <c r="E387" s="1"/>
      <c r="F387" s="1"/>
      <c r="G387" s="1"/>
      <c r="H387" s="1"/>
    </row>
    <row r="388" ht="15.75" customHeight="1">
      <c r="A388" s="1"/>
      <c r="B388" s="96"/>
      <c r="C388" s="1"/>
      <c r="D388" s="1"/>
      <c r="E388" s="1"/>
      <c r="F388" s="1"/>
      <c r="G388" s="1"/>
      <c r="H388" s="1"/>
    </row>
    <row r="389" ht="15.75" customHeight="1">
      <c r="A389" s="1"/>
      <c r="B389" s="96"/>
      <c r="C389" s="1"/>
      <c r="D389" s="1"/>
      <c r="E389" s="1"/>
      <c r="F389" s="1"/>
      <c r="G389" s="1"/>
      <c r="H389" s="1"/>
    </row>
    <row r="390" ht="15.75" customHeight="1">
      <c r="A390" s="1"/>
      <c r="B390" s="96"/>
      <c r="C390" s="1"/>
      <c r="D390" s="1"/>
      <c r="E390" s="1"/>
      <c r="F390" s="1"/>
      <c r="G390" s="1"/>
      <c r="H390" s="1"/>
    </row>
    <row r="391" ht="15.75" customHeight="1">
      <c r="A391" s="1"/>
      <c r="B391" s="96"/>
      <c r="C391" s="1"/>
      <c r="D391" s="1"/>
      <c r="E391" s="1"/>
      <c r="F391" s="1"/>
      <c r="G391" s="1"/>
      <c r="H391" s="1"/>
    </row>
    <row r="392" ht="15.75" customHeight="1">
      <c r="A392" s="1"/>
      <c r="B392" s="96"/>
      <c r="C392" s="1"/>
      <c r="D392" s="1"/>
      <c r="E392" s="1"/>
      <c r="F392" s="1"/>
      <c r="G392" s="1"/>
      <c r="H392" s="1"/>
    </row>
    <row r="393" ht="15.75" customHeight="1">
      <c r="A393" s="1"/>
      <c r="B393" s="96"/>
      <c r="C393" s="1"/>
      <c r="D393" s="1"/>
      <c r="E393" s="1"/>
      <c r="F393" s="1"/>
      <c r="G393" s="1"/>
      <c r="H393" s="1"/>
    </row>
    <row r="394" ht="15.75" customHeight="1">
      <c r="A394" s="1"/>
      <c r="B394" s="96"/>
      <c r="C394" s="1"/>
      <c r="D394" s="1"/>
      <c r="E394" s="1"/>
      <c r="F394" s="1"/>
      <c r="G394" s="1"/>
      <c r="H394" s="1"/>
    </row>
    <row r="395" ht="15.75" customHeight="1">
      <c r="A395" s="1"/>
      <c r="B395" s="96"/>
      <c r="C395" s="1"/>
      <c r="D395" s="1"/>
      <c r="E395" s="1"/>
      <c r="F395" s="1"/>
      <c r="G395" s="1"/>
      <c r="H395" s="1"/>
    </row>
    <row r="396" ht="15.75" customHeight="1">
      <c r="A396" s="1"/>
      <c r="B396" s="96"/>
      <c r="C396" s="1"/>
      <c r="D396" s="1"/>
      <c r="E396" s="1"/>
      <c r="F396" s="1"/>
      <c r="G396" s="1"/>
      <c r="H396" s="1"/>
    </row>
    <row r="397" ht="15.75" customHeight="1">
      <c r="A397" s="1"/>
      <c r="B397" s="96"/>
      <c r="C397" s="1"/>
      <c r="D397" s="1"/>
      <c r="E397" s="1"/>
      <c r="F397" s="1"/>
      <c r="G397" s="1"/>
      <c r="H397" s="1"/>
    </row>
    <row r="398" ht="15.75" customHeight="1">
      <c r="A398" s="1"/>
      <c r="B398" s="96"/>
      <c r="C398" s="1"/>
      <c r="D398" s="1"/>
      <c r="E398" s="1"/>
      <c r="F398" s="1"/>
      <c r="G398" s="1"/>
      <c r="H398" s="1"/>
    </row>
    <row r="399" ht="15.75" customHeight="1">
      <c r="A399" s="1"/>
      <c r="B399" s="96"/>
      <c r="C399" s="1"/>
      <c r="D399" s="1"/>
      <c r="E399" s="1"/>
      <c r="F399" s="1"/>
      <c r="G399" s="1"/>
      <c r="H399" s="1"/>
    </row>
    <row r="400" ht="15.75" customHeight="1">
      <c r="A400" s="1"/>
      <c r="B400" s="96"/>
      <c r="C400" s="1"/>
      <c r="D400" s="1"/>
      <c r="E400" s="1"/>
      <c r="F400" s="1"/>
      <c r="G400" s="1"/>
      <c r="H400" s="1"/>
    </row>
    <row r="401" ht="15.75" customHeight="1">
      <c r="A401" s="1"/>
      <c r="B401" s="96"/>
      <c r="C401" s="1"/>
      <c r="D401" s="1"/>
      <c r="E401" s="1"/>
      <c r="F401" s="1"/>
      <c r="G401" s="1"/>
      <c r="H401" s="1"/>
    </row>
    <row r="402" ht="15.75" customHeight="1">
      <c r="A402" s="1"/>
      <c r="B402" s="96"/>
      <c r="C402" s="1"/>
      <c r="D402" s="1"/>
      <c r="E402" s="1"/>
      <c r="F402" s="1"/>
      <c r="G402" s="1"/>
      <c r="H402" s="1"/>
    </row>
    <row r="403" ht="15.75" customHeight="1">
      <c r="A403" s="1"/>
      <c r="B403" s="96"/>
      <c r="C403" s="1"/>
      <c r="D403" s="1"/>
      <c r="E403" s="1"/>
      <c r="F403" s="1"/>
      <c r="G403" s="1"/>
      <c r="H403" s="1"/>
    </row>
    <row r="404" ht="15.75" customHeight="1">
      <c r="A404" s="1"/>
      <c r="B404" s="96"/>
      <c r="C404" s="1"/>
      <c r="D404" s="1"/>
      <c r="E404" s="1"/>
      <c r="F404" s="1"/>
      <c r="G404" s="1"/>
      <c r="H404" s="1"/>
    </row>
    <row r="405" ht="15.75" customHeight="1">
      <c r="A405" s="1"/>
      <c r="B405" s="96"/>
      <c r="C405" s="1"/>
      <c r="D405" s="1"/>
      <c r="E405" s="1"/>
      <c r="F405" s="1"/>
      <c r="G405" s="1"/>
      <c r="H405" s="1"/>
    </row>
    <row r="406" ht="15.75" customHeight="1">
      <c r="A406" s="1"/>
      <c r="B406" s="96"/>
      <c r="C406" s="1"/>
      <c r="D406" s="1"/>
      <c r="E406" s="1"/>
      <c r="F406" s="1"/>
      <c r="G406" s="1"/>
      <c r="H406" s="1"/>
    </row>
    <row r="407" ht="15.75" customHeight="1">
      <c r="A407" s="1"/>
      <c r="B407" s="96"/>
      <c r="C407" s="1"/>
      <c r="D407" s="1"/>
      <c r="E407" s="1"/>
      <c r="F407" s="1"/>
      <c r="G407" s="1"/>
      <c r="H407" s="1"/>
    </row>
    <row r="408" ht="15.75" customHeight="1">
      <c r="A408" s="1"/>
      <c r="B408" s="96"/>
      <c r="C408" s="1"/>
      <c r="D408" s="1"/>
      <c r="E408" s="1"/>
      <c r="F408" s="1"/>
      <c r="G408" s="1"/>
      <c r="H408" s="1"/>
    </row>
    <row r="409" ht="15.75" customHeight="1">
      <c r="A409" s="1"/>
      <c r="B409" s="96"/>
      <c r="C409" s="1"/>
      <c r="D409" s="1"/>
      <c r="E409" s="1"/>
      <c r="F409" s="1"/>
      <c r="G409" s="1"/>
      <c r="H409" s="1"/>
    </row>
    <row r="410" ht="15.75" customHeight="1">
      <c r="A410" s="1"/>
      <c r="B410" s="96"/>
      <c r="C410" s="1"/>
      <c r="D410" s="1"/>
      <c r="E410" s="1"/>
      <c r="F410" s="1"/>
      <c r="G410" s="1"/>
      <c r="H410" s="1"/>
    </row>
    <row r="411" ht="15.75" customHeight="1">
      <c r="A411" s="1"/>
      <c r="B411" s="96"/>
      <c r="C411" s="1"/>
      <c r="D411" s="1"/>
      <c r="E411" s="1"/>
      <c r="F411" s="1"/>
      <c r="G411" s="1"/>
      <c r="H411" s="1"/>
    </row>
    <row r="412" ht="15.75" customHeight="1">
      <c r="A412" s="1"/>
      <c r="B412" s="96"/>
      <c r="C412" s="1"/>
      <c r="D412" s="1"/>
      <c r="E412" s="1"/>
      <c r="F412" s="1"/>
      <c r="G412" s="1"/>
      <c r="H412" s="1"/>
    </row>
    <row r="413" ht="15.75" customHeight="1">
      <c r="A413" s="1"/>
      <c r="B413" s="96"/>
      <c r="C413" s="1"/>
      <c r="D413" s="1"/>
      <c r="E413" s="1"/>
      <c r="F413" s="1"/>
      <c r="G413" s="1"/>
      <c r="H413" s="1"/>
    </row>
    <row r="414" ht="15.75" customHeight="1">
      <c r="A414" s="1"/>
      <c r="B414" s="96"/>
      <c r="C414" s="1"/>
      <c r="D414" s="1"/>
      <c r="E414" s="1"/>
      <c r="F414" s="1"/>
      <c r="G414" s="1"/>
      <c r="H414" s="1"/>
    </row>
    <row r="415" ht="15.75" customHeight="1">
      <c r="A415" s="1"/>
      <c r="B415" s="96"/>
      <c r="C415" s="1"/>
      <c r="D415" s="1"/>
      <c r="E415" s="1"/>
      <c r="F415" s="1"/>
      <c r="G415" s="1"/>
      <c r="H415" s="1"/>
    </row>
    <row r="416" ht="15.75" customHeight="1">
      <c r="A416" s="1"/>
      <c r="B416" s="96"/>
      <c r="C416" s="1"/>
      <c r="D416" s="1"/>
      <c r="E416" s="1"/>
      <c r="F416" s="1"/>
      <c r="G416" s="1"/>
      <c r="H416" s="1"/>
    </row>
    <row r="417" ht="15.75" customHeight="1">
      <c r="A417" s="1"/>
      <c r="B417" s="96"/>
      <c r="C417" s="1"/>
      <c r="D417" s="1"/>
      <c r="E417" s="1"/>
      <c r="F417" s="1"/>
      <c r="G417" s="1"/>
      <c r="H417" s="1"/>
    </row>
    <row r="418" ht="15.75" customHeight="1">
      <c r="A418" s="1"/>
      <c r="B418" s="96"/>
      <c r="C418" s="1"/>
      <c r="D418" s="1"/>
      <c r="E418" s="1"/>
      <c r="F418" s="1"/>
      <c r="G418" s="1"/>
      <c r="H418" s="1"/>
    </row>
    <row r="419" ht="15.75" customHeight="1">
      <c r="A419" s="1"/>
      <c r="B419" s="96"/>
      <c r="C419" s="1"/>
      <c r="D419" s="1"/>
      <c r="E419" s="1"/>
      <c r="F419" s="1"/>
      <c r="G419" s="1"/>
      <c r="H419" s="1"/>
    </row>
    <row r="420" ht="15.75" customHeight="1">
      <c r="A420" s="1"/>
      <c r="B420" s="96"/>
      <c r="C420" s="1"/>
      <c r="D420" s="1"/>
      <c r="E420" s="1"/>
      <c r="F420" s="1"/>
      <c r="G420" s="1"/>
      <c r="H420" s="1"/>
    </row>
    <row r="421" ht="15.75" customHeight="1">
      <c r="A421" s="1"/>
      <c r="B421" s="96"/>
      <c r="C421" s="1"/>
      <c r="D421" s="1"/>
      <c r="E421" s="1"/>
      <c r="F421" s="1"/>
      <c r="G421" s="1"/>
      <c r="H421" s="1"/>
    </row>
    <row r="422" ht="15.75" customHeight="1">
      <c r="A422" s="1"/>
      <c r="B422" s="96"/>
      <c r="C422" s="1"/>
      <c r="D422" s="1"/>
      <c r="E422" s="1"/>
      <c r="F422" s="1"/>
      <c r="G422" s="1"/>
      <c r="H422" s="1"/>
    </row>
    <row r="423" ht="15.75" customHeight="1">
      <c r="A423" s="1"/>
      <c r="B423" s="96"/>
      <c r="C423" s="1"/>
      <c r="D423" s="1"/>
      <c r="E423" s="1"/>
      <c r="F423" s="1"/>
      <c r="G423" s="1"/>
      <c r="H423" s="1"/>
    </row>
    <row r="424" ht="15.75" customHeight="1">
      <c r="A424" s="1"/>
      <c r="B424" s="96"/>
      <c r="C424" s="1"/>
      <c r="D424" s="1"/>
      <c r="E424" s="1"/>
      <c r="F424" s="1"/>
      <c r="G424" s="1"/>
      <c r="H424" s="1"/>
    </row>
    <row r="425" ht="15.75" customHeight="1">
      <c r="A425" s="1"/>
      <c r="B425" s="96"/>
      <c r="C425" s="1"/>
      <c r="D425" s="1"/>
      <c r="E425" s="1"/>
      <c r="F425" s="1"/>
      <c r="G425" s="1"/>
      <c r="H425" s="1"/>
    </row>
    <row r="426" ht="15.75" customHeight="1">
      <c r="A426" s="1"/>
      <c r="B426" s="96"/>
      <c r="C426" s="1"/>
      <c r="D426" s="1"/>
      <c r="E426" s="1"/>
      <c r="F426" s="1"/>
      <c r="G426" s="1"/>
      <c r="H426" s="1"/>
    </row>
    <row r="427" ht="15.75" customHeight="1">
      <c r="A427" s="1"/>
      <c r="B427" s="96"/>
      <c r="C427" s="1"/>
      <c r="D427" s="1"/>
      <c r="E427" s="1"/>
      <c r="F427" s="1"/>
      <c r="G427" s="1"/>
      <c r="H427" s="1"/>
    </row>
    <row r="428" ht="15.75" customHeight="1">
      <c r="A428" s="1"/>
      <c r="B428" s="96"/>
      <c r="C428" s="1"/>
      <c r="D428" s="1"/>
      <c r="E428" s="1"/>
      <c r="F428" s="1"/>
      <c r="G428" s="1"/>
      <c r="H428" s="1"/>
    </row>
    <row r="429" ht="15.75" customHeight="1">
      <c r="A429" s="1"/>
      <c r="B429" s="96"/>
      <c r="C429" s="1"/>
      <c r="D429" s="1"/>
      <c r="E429" s="1"/>
      <c r="F429" s="1"/>
      <c r="G429" s="1"/>
      <c r="H429" s="1"/>
    </row>
    <row r="430" ht="15.75" customHeight="1">
      <c r="A430" s="1"/>
      <c r="B430" s="96"/>
      <c r="C430" s="1"/>
      <c r="D430" s="1"/>
      <c r="E430" s="1"/>
      <c r="F430" s="1"/>
      <c r="G430" s="1"/>
      <c r="H430" s="1"/>
    </row>
    <row r="431" ht="15.75" customHeight="1">
      <c r="A431" s="1"/>
      <c r="B431" s="96"/>
      <c r="C431" s="1"/>
      <c r="D431" s="1"/>
      <c r="E431" s="1"/>
      <c r="F431" s="1"/>
      <c r="G431" s="1"/>
      <c r="H431" s="1"/>
    </row>
    <row r="432" ht="15.75" customHeight="1">
      <c r="A432" s="1"/>
      <c r="B432" s="96"/>
      <c r="C432" s="1"/>
      <c r="D432" s="1"/>
      <c r="E432" s="1"/>
      <c r="F432" s="1"/>
      <c r="G432" s="1"/>
      <c r="H432" s="1"/>
    </row>
    <row r="433" ht="15.75" customHeight="1">
      <c r="A433" s="1"/>
      <c r="B433" s="96"/>
      <c r="C433" s="1"/>
      <c r="D433" s="1"/>
      <c r="E433" s="1"/>
      <c r="F433" s="1"/>
      <c r="G433" s="1"/>
      <c r="H433" s="1"/>
    </row>
    <row r="434" ht="15.75" customHeight="1">
      <c r="A434" s="1"/>
      <c r="B434" s="96"/>
      <c r="C434" s="1"/>
      <c r="D434" s="1"/>
      <c r="E434" s="1"/>
      <c r="F434" s="1"/>
      <c r="G434" s="1"/>
      <c r="H434" s="1"/>
    </row>
    <row r="435" ht="15.75" customHeight="1">
      <c r="A435" s="1"/>
      <c r="B435" s="96"/>
      <c r="C435" s="1"/>
      <c r="D435" s="1"/>
      <c r="E435" s="1"/>
      <c r="F435" s="1"/>
      <c r="G435" s="1"/>
      <c r="H435" s="1"/>
    </row>
    <row r="436" ht="15.75" customHeight="1">
      <c r="A436" s="1"/>
      <c r="B436" s="96"/>
      <c r="C436" s="1"/>
      <c r="D436" s="1"/>
      <c r="E436" s="1"/>
      <c r="F436" s="1"/>
      <c r="G436" s="1"/>
      <c r="H436" s="1"/>
    </row>
    <row r="437" ht="15.75" customHeight="1">
      <c r="A437" s="1"/>
      <c r="B437" s="96"/>
      <c r="C437" s="1"/>
      <c r="D437" s="1"/>
      <c r="E437" s="1"/>
      <c r="F437" s="1"/>
      <c r="G437" s="1"/>
      <c r="H437" s="1"/>
    </row>
    <row r="438" ht="15.75" customHeight="1">
      <c r="A438" s="1"/>
      <c r="B438" s="96"/>
      <c r="C438" s="1"/>
      <c r="D438" s="1"/>
      <c r="E438" s="1"/>
      <c r="F438" s="1"/>
      <c r="G438" s="1"/>
      <c r="H438" s="1"/>
    </row>
    <row r="439" ht="15.75" customHeight="1">
      <c r="A439" s="1"/>
      <c r="B439" s="96"/>
      <c r="C439" s="1"/>
      <c r="D439" s="1"/>
      <c r="E439" s="1"/>
      <c r="F439" s="1"/>
      <c r="G439" s="1"/>
      <c r="H439" s="1"/>
    </row>
    <row r="440" ht="15.75" customHeight="1">
      <c r="A440" s="1"/>
      <c r="B440" s="96"/>
      <c r="C440" s="1"/>
      <c r="D440" s="1"/>
      <c r="E440" s="1"/>
      <c r="F440" s="1"/>
      <c r="G440" s="1"/>
      <c r="H440" s="1"/>
    </row>
    <row r="441" ht="15.75" customHeight="1">
      <c r="A441" s="1"/>
      <c r="B441" s="96"/>
      <c r="C441" s="1"/>
      <c r="D441" s="1"/>
      <c r="E441" s="1"/>
      <c r="F441" s="1"/>
      <c r="G441" s="1"/>
      <c r="H441" s="1"/>
    </row>
    <row r="442" ht="15.75" customHeight="1">
      <c r="A442" s="1"/>
      <c r="B442" s="96"/>
      <c r="C442" s="1"/>
      <c r="D442" s="1"/>
      <c r="E442" s="1"/>
      <c r="F442" s="1"/>
      <c r="G442" s="1"/>
      <c r="H442" s="1"/>
    </row>
    <row r="443" ht="15.75" customHeight="1">
      <c r="A443" s="1"/>
      <c r="B443" s="96"/>
      <c r="C443" s="1"/>
      <c r="D443" s="1"/>
      <c r="E443" s="1"/>
      <c r="F443" s="1"/>
      <c r="G443" s="1"/>
      <c r="H443" s="1"/>
    </row>
    <row r="444" ht="15.75" customHeight="1">
      <c r="A444" s="1"/>
      <c r="B444" s="96"/>
      <c r="C444" s="1"/>
      <c r="D444" s="1"/>
      <c r="E444" s="1"/>
      <c r="F444" s="1"/>
      <c r="G444" s="1"/>
      <c r="H444" s="1"/>
    </row>
    <row r="445" ht="15.75" customHeight="1">
      <c r="A445" s="1"/>
      <c r="B445" s="96"/>
      <c r="C445" s="1"/>
      <c r="D445" s="1"/>
      <c r="E445" s="1"/>
      <c r="F445" s="1"/>
      <c r="G445" s="1"/>
      <c r="H445" s="1"/>
    </row>
    <row r="446" ht="15.75" customHeight="1">
      <c r="A446" s="1"/>
      <c r="B446" s="96"/>
      <c r="C446" s="1"/>
      <c r="D446" s="1"/>
      <c r="E446" s="1"/>
      <c r="F446" s="1"/>
      <c r="G446" s="1"/>
      <c r="H446" s="1"/>
    </row>
    <row r="447" ht="15.75" customHeight="1">
      <c r="A447" s="1"/>
      <c r="B447" s="96"/>
      <c r="C447" s="1"/>
      <c r="D447" s="1"/>
      <c r="E447" s="1"/>
      <c r="F447" s="1"/>
      <c r="G447" s="1"/>
      <c r="H447" s="1"/>
    </row>
    <row r="448" ht="15.75" customHeight="1">
      <c r="A448" s="1"/>
      <c r="B448" s="96"/>
      <c r="C448" s="1"/>
      <c r="D448" s="1"/>
      <c r="E448" s="1"/>
      <c r="F448" s="1"/>
      <c r="G448" s="1"/>
      <c r="H448" s="1"/>
    </row>
    <row r="449" ht="15.75" customHeight="1">
      <c r="A449" s="1"/>
      <c r="B449" s="96"/>
      <c r="C449" s="1"/>
      <c r="D449" s="1"/>
      <c r="E449" s="1"/>
      <c r="F449" s="1"/>
      <c r="G449" s="1"/>
      <c r="H449" s="1"/>
    </row>
    <row r="450" ht="15.75" customHeight="1">
      <c r="A450" s="1"/>
      <c r="B450" s="96"/>
      <c r="C450" s="1"/>
      <c r="D450" s="1"/>
      <c r="E450" s="1"/>
      <c r="F450" s="1"/>
      <c r="G450" s="1"/>
      <c r="H450" s="1"/>
    </row>
    <row r="451" ht="15.75" customHeight="1">
      <c r="A451" s="1"/>
      <c r="B451" s="96"/>
      <c r="C451" s="1"/>
      <c r="D451" s="1"/>
      <c r="E451" s="1"/>
      <c r="F451" s="1"/>
      <c r="G451" s="1"/>
      <c r="H451" s="1"/>
    </row>
    <row r="452" ht="15.75" customHeight="1">
      <c r="A452" s="1"/>
      <c r="B452" s="96"/>
      <c r="C452" s="1"/>
      <c r="D452" s="1"/>
      <c r="E452" s="1"/>
      <c r="F452" s="1"/>
      <c r="G452" s="1"/>
      <c r="H452" s="1"/>
    </row>
    <row r="453" ht="15.75" customHeight="1">
      <c r="A453" s="1"/>
      <c r="B453" s="96"/>
      <c r="C453" s="1"/>
      <c r="D453" s="1"/>
      <c r="E453" s="1"/>
      <c r="F453" s="1"/>
      <c r="G453" s="1"/>
      <c r="H453" s="1"/>
    </row>
    <row r="454" ht="15.75" customHeight="1">
      <c r="A454" s="1"/>
      <c r="B454" s="96"/>
      <c r="C454" s="1"/>
      <c r="D454" s="1"/>
      <c r="E454" s="1"/>
      <c r="F454" s="1"/>
      <c r="G454" s="1"/>
      <c r="H454" s="1"/>
    </row>
    <row r="455" ht="15.75" customHeight="1">
      <c r="A455" s="1"/>
      <c r="B455" s="96"/>
      <c r="C455" s="1"/>
      <c r="D455" s="1"/>
      <c r="E455" s="1"/>
      <c r="F455" s="1"/>
      <c r="G455" s="1"/>
      <c r="H455" s="1"/>
    </row>
    <row r="456" ht="15.75" customHeight="1">
      <c r="A456" s="1"/>
      <c r="B456" s="96"/>
      <c r="C456" s="1"/>
      <c r="D456" s="1"/>
      <c r="E456" s="1"/>
      <c r="F456" s="1"/>
      <c r="G456" s="1"/>
      <c r="H456" s="1"/>
    </row>
    <row r="457" ht="15.75" customHeight="1">
      <c r="A457" s="1"/>
      <c r="B457" s="96"/>
      <c r="C457" s="1"/>
      <c r="D457" s="1"/>
      <c r="E457" s="1"/>
      <c r="F457" s="1"/>
      <c r="G457" s="1"/>
      <c r="H457" s="1"/>
    </row>
    <row r="458" ht="15.75" customHeight="1">
      <c r="A458" s="1"/>
      <c r="B458" s="96"/>
      <c r="C458" s="1"/>
      <c r="D458" s="1"/>
      <c r="E458" s="1"/>
      <c r="F458" s="1"/>
      <c r="G458" s="1"/>
      <c r="H458" s="1"/>
    </row>
    <row r="459" ht="15.75" customHeight="1">
      <c r="A459" s="1"/>
      <c r="B459" s="96"/>
      <c r="C459" s="1"/>
      <c r="D459" s="1"/>
      <c r="E459" s="1"/>
      <c r="F459" s="1"/>
      <c r="G459" s="1"/>
      <c r="H459" s="1"/>
    </row>
    <row r="460" ht="15.75" customHeight="1">
      <c r="A460" s="1"/>
      <c r="B460" s="96"/>
      <c r="C460" s="1"/>
      <c r="D460" s="1"/>
      <c r="E460" s="1"/>
      <c r="F460" s="1"/>
      <c r="G460" s="1"/>
      <c r="H460" s="1"/>
    </row>
    <row r="461" ht="15.75" customHeight="1">
      <c r="A461" s="1"/>
      <c r="B461" s="96"/>
      <c r="C461" s="1"/>
      <c r="D461" s="1"/>
      <c r="E461" s="1"/>
      <c r="F461" s="1"/>
      <c r="G461" s="1"/>
      <c r="H461" s="1"/>
    </row>
    <row r="462" ht="15.75" customHeight="1">
      <c r="A462" s="1"/>
      <c r="B462" s="96"/>
      <c r="C462" s="1"/>
      <c r="D462" s="1"/>
      <c r="E462" s="1"/>
      <c r="F462" s="1"/>
      <c r="G462" s="1"/>
      <c r="H462" s="1"/>
    </row>
    <row r="463" ht="15.75" customHeight="1">
      <c r="A463" s="1"/>
      <c r="B463" s="96"/>
      <c r="C463" s="1"/>
      <c r="D463" s="1"/>
      <c r="E463" s="1"/>
      <c r="F463" s="1"/>
      <c r="G463" s="1"/>
      <c r="H463" s="1"/>
    </row>
    <row r="464" ht="15.75" customHeight="1">
      <c r="A464" s="1"/>
      <c r="B464" s="96"/>
      <c r="C464" s="1"/>
      <c r="D464" s="1"/>
      <c r="E464" s="1"/>
      <c r="F464" s="1"/>
      <c r="G464" s="1"/>
      <c r="H464" s="1"/>
    </row>
    <row r="465" ht="15.75" customHeight="1">
      <c r="A465" s="1"/>
      <c r="B465" s="96"/>
      <c r="C465" s="1"/>
      <c r="D465" s="1"/>
      <c r="E465" s="1"/>
      <c r="F465" s="1"/>
      <c r="G465" s="1"/>
      <c r="H465" s="1"/>
    </row>
    <row r="466" ht="15.75" customHeight="1">
      <c r="A466" s="1"/>
      <c r="B466" s="96"/>
      <c r="C466" s="1"/>
      <c r="D466" s="1"/>
      <c r="E466" s="1"/>
      <c r="F466" s="1"/>
      <c r="G466" s="1"/>
      <c r="H466" s="1"/>
    </row>
    <row r="467" ht="15.75" customHeight="1">
      <c r="A467" s="1"/>
      <c r="B467" s="96"/>
      <c r="C467" s="1"/>
      <c r="D467" s="1"/>
      <c r="E467" s="1"/>
      <c r="F467" s="1"/>
      <c r="G467" s="1"/>
      <c r="H467" s="1"/>
    </row>
    <row r="468" ht="15.75" customHeight="1">
      <c r="A468" s="1"/>
      <c r="B468" s="96"/>
      <c r="C468" s="1"/>
      <c r="D468" s="1"/>
      <c r="E468" s="1"/>
      <c r="F468" s="1"/>
      <c r="G468" s="1"/>
      <c r="H468" s="1"/>
    </row>
    <row r="469" ht="15.75" customHeight="1">
      <c r="A469" s="1"/>
      <c r="B469" s="96"/>
      <c r="C469" s="1"/>
      <c r="D469" s="1"/>
      <c r="E469" s="1"/>
      <c r="F469" s="1"/>
      <c r="G469" s="1"/>
      <c r="H469" s="1"/>
    </row>
    <row r="470" ht="15.75" customHeight="1">
      <c r="A470" s="1"/>
      <c r="B470" s="96"/>
      <c r="C470" s="1"/>
      <c r="D470" s="1"/>
      <c r="E470" s="1"/>
      <c r="F470" s="1"/>
      <c r="G470" s="1"/>
      <c r="H470" s="1"/>
    </row>
    <row r="471" ht="15.75" customHeight="1">
      <c r="A471" s="1"/>
      <c r="B471" s="96"/>
      <c r="C471" s="1"/>
      <c r="D471" s="1"/>
      <c r="E471" s="1"/>
      <c r="F471" s="1"/>
      <c r="G471" s="1"/>
      <c r="H471" s="1"/>
    </row>
    <row r="472" ht="15.75" customHeight="1">
      <c r="A472" s="1"/>
      <c r="B472" s="96"/>
      <c r="C472" s="1"/>
      <c r="D472" s="1"/>
      <c r="E472" s="1"/>
      <c r="F472" s="1"/>
      <c r="G472" s="1"/>
      <c r="H472" s="1"/>
    </row>
    <row r="473" ht="15.75" customHeight="1">
      <c r="A473" s="1"/>
      <c r="B473" s="96"/>
      <c r="C473" s="1"/>
      <c r="D473" s="1"/>
      <c r="E473" s="1"/>
      <c r="F473" s="1"/>
      <c r="G473" s="1"/>
      <c r="H473" s="1"/>
    </row>
    <row r="474" ht="15.75" customHeight="1">
      <c r="A474" s="1"/>
      <c r="B474" s="96"/>
      <c r="C474" s="1"/>
      <c r="D474" s="1"/>
      <c r="E474" s="1"/>
      <c r="F474" s="1"/>
      <c r="G474" s="1"/>
      <c r="H474" s="1"/>
    </row>
    <row r="475" ht="15.75" customHeight="1">
      <c r="A475" s="1"/>
      <c r="B475" s="96"/>
      <c r="C475" s="1"/>
      <c r="D475" s="1"/>
      <c r="E475" s="1"/>
      <c r="F475" s="1"/>
      <c r="G475" s="1"/>
      <c r="H475" s="1"/>
    </row>
    <row r="476" ht="15.75" customHeight="1">
      <c r="A476" s="1"/>
      <c r="B476" s="96"/>
      <c r="C476" s="1"/>
      <c r="D476" s="1"/>
      <c r="E476" s="1"/>
      <c r="F476" s="1"/>
      <c r="G476" s="1"/>
      <c r="H476" s="1"/>
    </row>
    <row r="477" ht="15.75" customHeight="1">
      <c r="A477" s="1"/>
      <c r="B477" s="96"/>
      <c r="C477" s="1"/>
      <c r="D477" s="1"/>
      <c r="E477" s="1"/>
      <c r="F477" s="1"/>
      <c r="G477" s="1"/>
      <c r="H477" s="1"/>
    </row>
    <row r="478" ht="15.75" customHeight="1">
      <c r="A478" s="1"/>
      <c r="B478" s="96"/>
      <c r="C478" s="1"/>
      <c r="D478" s="1"/>
      <c r="E478" s="1"/>
      <c r="F478" s="1"/>
      <c r="G478" s="1"/>
      <c r="H478" s="1"/>
    </row>
    <row r="479" ht="15.75" customHeight="1">
      <c r="A479" s="1"/>
      <c r="B479" s="96"/>
      <c r="C479" s="1"/>
      <c r="D479" s="1"/>
      <c r="E479" s="1"/>
      <c r="F479" s="1"/>
      <c r="G479" s="1"/>
      <c r="H479" s="1"/>
    </row>
    <row r="480" ht="15.75" customHeight="1">
      <c r="A480" s="1"/>
      <c r="B480" s="96"/>
      <c r="C480" s="1"/>
      <c r="D480" s="1"/>
      <c r="E480" s="1"/>
      <c r="F480" s="1"/>
      <c r="G480" s="1"/>
      <c r="H480" s="1"/>
    </row>
    <row r="481" ht="15.75" customHeight="1">
      <c r="A481" s="1"/>
      <c r="B481" s="96"/>
      <c r="C481" s="1"/>
      <c r="D481" s="1"/>
      <c r="E481" s="1"/>
      <c r="F481" s="1"/>
      <c r="G481" s="1"/>
      <c r="H481" s="1"/>
    </row>
    <row r="482" ht="15.75" customHeight="1">
      <c r="A482" s="1"/>
      <c r="B482" s="96"/>
      <c r="C482" s="1"/>
      <c r="D482" s="1"/>
      <c r="E482" s="1"/>
      <c r="F482" s="1"/>
      <c r="G482" s="1"/>
      <c r="H482" s="1"/>
    </row>
    <row r="483" ht="15.75" customHeight="1">
      <c r="A483" s="1"/>
      <c r="B483" s="96"/>
      <c r="C483" s="1"/>
      <c r="D483" s="1"/>
      <c r="E483" s="1"/>
      <c r="F483" s="1"/>
      <c r="G483" s="1"/>
      <c r="H483" s="1"/>
    </row>
    <row r="484" ht="15.75" customHeight="1">
      <c r="A484" s="1"/>
      <c r="B484" s="96"/>
      <c r="C484" s="1"/>
      <c r="D484" s="1"/>
      <c r="E484" s="1"/>
      <c r="F484" s="1"/>
      <c r="G484" s="1"/>
      <c r="H484" s="1"/>
    </row>
    <row r="485" ht="15.75" customHeight="1">
      <c r="A485" s="1"/>
      <c r="B485" s="96"/>
      <c r="C485" s="1"/>
      <c r="D485" s="1"/>
      <c r="E485" s="1"/>
      <c r="F485" s="1"/>
      <c r="G485" s="1"/>
      <c r="H485" s="1"/>
    </row>
    <row r="486" ht="15.75" customHeight="1">
      <c r="A486" s="1"/>
      <c r="B486" s="96"/>
      <c r="C486" s="1"/>
      <c r="D486" s="1"/>
      <c r="E486" s="1"/>
      <c r="F486" s="1"/>
      <c r="G486" s="1"/>
      <c r="H486" s="1"/>
    </row>
    <row r="487" ht="15.75" customHeight="1">
      <c r="A487" s="1"/>
      <c r="B487" s="96"/>
      <c r="C487" s="1"/>
      <c r="D487" s="1"/>
      <c r="E487" s="1"/>
      <c r="F487" s="1"/>
      <c r="G487" s="1"/>
      <c r="H487" s="1"/>
    </row>
    <row r="488" ht="15.75" customHeight="1">
      <c r="A488" s="1"/>
      <c r="B488" s="96"/>
      <c r="C488" s="1"/>
      <c r="D488" s="1"/>
      <c r="E488" s="1"/>
      <c r="F488" s="1"/>
      <c r="G488" s="1"/>
      <c r="H488" s="1"/>
    </row>
    <row r="489" ht="15.75" customHeight="1">
      <c r="A489" s="1"/>
      <c r="B489" s="96"/>
      <c r="C489" s="1"/>
      <c r="D489" s="1"/>
      <c r="E489" s="1"/>
      <c r="F489" s="1"/>
      <c r="G489" s="1"/>
      <c r="H489" s="1"/>
    </row>
    <row r="490" ht="15.75" customHeight="1">
      <c r="A490" s="1"/>
      <c r="B490" s="96"/>
      <c r="C490" s="1"/>
      <c r="D490" s="1"/>
      <c r="E490" s="1"/>
      <c r="F490" s="1"/>
      <c r="G490" s="1"/>
      <c r="H490" s="1"/>
    </row>
    <row r="491" ht="15.75" customHeight="1">
      <c r="A491" s="1"/>
      <c r="B491" s="96"/>
      <c r="C491" s="1"/>
      <c r="D491" s="1"/>
      <c r="E491" s="1"/>
      <c r="F491" s="1"/>
      <c r="G491" s="1"/>
      <c r="H491" s="1"/>
    </row>
    <row r="492" ht="15.75" customHeight="1">
      <c r="A492" s="1"/>
      <c r="B492" s="96"/>
      <c r="C492" s="1"/>
      <c r="D492" s="1"/>
      <c r="E492" s="1"/>
      <c r="F492" s="1"/>
      <c r="G492" s="1"/>
      <c r="H492" s="1"/>
    </row>
    <row r="493" ht="15.75" customHeight="1">
      <c r="A493" s="1"/>
      <c r="B493" s="96"/>
      <c r="C493" s="1"/>
      <c r="D493" s="1"/>
      <c r="E493" s="1"/>
      <c r="F493" s="1"/>
      <c r="G493" s="1"/>
      <c r="H493" s="1"/>
    </row>
    <row r="494" ht="15.75" customHeight="1">
      <c r="A494" s="1"/>
      <c r="B494" s="96"/>
      <c r="C494" s="1"/>
      <c r="D494" s="1"/>
      <c r="E494" s="1"/>
      <c r="F494" s="1"/>
      <c r="G494" s="1"/>
      <c r="H494" s="1"/>
    </row>
    <row r="495" ht="15.75" customHeight="1">
      <c r="A495" s="1"/>
      <c r="B495" s="96"/>
      <c r="C495" s="1"/>
      <c r="D495" s="1"/>
      <c r="E495" s="1"/>
      <c r="F495" s="1"/>
      <c r="G495" s="1"/>
      <c r="H495" s="1"/>
    </row>
    <row r="496" ht="15.75" customHeight="1">
      <c r="A496" s="1"/>
      <c r="B496" s="96"/>
      <c r="C496" s="1"/>
      <c r="D496" s="1"/>
      <c r="E496" s="1"/>
      <c r="F496" s="1"/>
      <c r="G496" s="1"/>
      <c r="H496" s="1"/>
    </row>
    <row r="497" ht="15.75" customHeight="1">
      <c r="A497" s="1"/>
      <c r="B497" s="96"/>
      <c r="C497" s="1"/>
      <c r="D497" s="1"/>
      <c r="E497" s="1"/>
      <c r="F497" s="1"/>
      <c r="G497" s="1"/>
      <c r="H497" s="1"/>
    </row>
    <row r="498" ht="15.75" customHeight="1">
      <c r="A498" s="1"/>
      <c r="B498" s="96"/>
      <c r="C498" s="1"/>
      <c r="D498" s="1"/>
      <c r="E498" s="1"/>
      <c r="F498" s="1"/>
      <c r="G498" s="1"/>
      <c r="H498" s="1"/>
    </row>
    <row r="499" ht="15.75" customHeight="1">
      <c r="A499" s="1"/>
      <c r="B499" s="96"/>
      <c r="C499" s="1"/>
      <c r="D499" s="1"/>
      <c r="E499" s="1"/>
      <c r="F499" s="1"/>
      <c r="G499" s="1"/>
      <c r="H499" s="1"/>
    </row>
    <row r="500" ht="15.75" customHeight="1">
      <c r="A500" s="1"/>
      <c r="B500" s="96"/>
      <c r="C500" s="1"/>
      <c r="D500" s="1"/>
      <c r="E500" s="1"/>
      <c r="F500" s="1"/>
      <c r="G500" s="1"/>
      <c r="H500" s="1"/>
    </row>
    <row r="501" ht="15.75" customHeight="1">
      <c r="A501" s="1"/>
      <c r="B501" s="96"/>
      <c r="C501" s="1"/>
      <c r="D501" s="1"/>
      <c r="E501" s="1"/>
      <c r="F501" s="1"/>
      <c r="G501" s="1"/>
      <c r="H501" s="1"/>
    </row>
    <row r="502" ht="15.75" customHeight="1">
      <c r="A502" s="1"/>
      <c r="B502" s="96"/>
      <c r="C502" s="1"/>
      <c r="D502" s="1"/>
      <c r="E502" s="1"/>
      <c r="F502" s="1"/>
      <c r="G502" s="1"/>
      <c r="H502" s="1"/>
    </row>
    <row r="503" ht="15.75" customHeight="1">
      <c r="A503" s="1"/>
      <c r="B503" s="96"/>
      <c r="C503" s="1"/>
      <c r="D503" s="1"/>
      <c r="E503" s="1"/>
      <c r="F503" s="1"/>
      <c r="G503" s="1"/>
      <c r="H503" s="1"/>
    </row>
    <row r="504" ht="15.75" customHeight="1">
      <c r="A504" s="1"/>
      <c r="B504" s="96"/>
      <c r="C504" s="1"/>
      <c r="D504" s="1"/>
      <c r="E504" s="1"/>
      <c r="F504" s="1"/>
      <c r="G504" s="1"/>
      <c r="H504" s="1"/>
    </row>
    <row r="505" ht="15.75" customHeight="1">
      <c r="A505" s="1"/>
      <c r="B505" s="96"/>
      <c r="C505" s="1"/>
      <c r="D505" s="1"/>
      <c r="E505" s="1"/>
      <c r="F505" s="1"/>
      <c r="G505" s="1"/>
      <c r="H505" s="1"/>
    </row>
    <row r="506" ht="15.75" customHeight="1">
      <c r="A506" s="1"/>
      <c r="B506" s="96"/>
      <c r="C506" s="1"/>
      <c r="D506" s="1"/>
      <c r="E506" s="1"/>
      <c r="F506" s="1"/>
      <c r="G506" s="1"/>
      <c r="H506" s="1"/>
    </row>
    <row r="507" ht="15.75" customHeight="1">
      <c r="A507" s="1"/>
      <c r="B507" s="96"/>
      <c r="C507" s="1"/>
      <c r="D507" s="1"/>
      <c r="E507" s="1"/>
      <c r="F507" s="1"/>
      <c r="G507" s="1"/>
      <c r="H507" s="1"/>
    </row>
    <row r="508" ht="15.75" customHeight="1">
      <c r="A508" s="1"/>
      <c r="B508" s="96"/>
      <c r="C508" s="1"/>
      <c r="D508" s="1"/>
      <c r="E508" s="1"/>
      <c r="F508" s="1"/>
      <c r="G508" s="1"/>
      <c r="H508" s="1"/>
    </row>
    <row r="509" ht="15.75" customHeight="1">
      <c r="A509" s="1"/>
      <c r="B509" s="96"/>
      <c r="C509" s="1"/>
      <c r="D509" s="1"/>
      <c r="E509" s="1"/>
      <c r="F509" s="1"/>
      <c r="G509" s="1"/>
      <c r="H509" s="1"/>
    </row>
    <row r="510" ht="15.75" customHeight="1">
      <c r="A510" s="1"/>
      <c r="B510" s="96"/>
      <c r="C510" s="1"/>
      <c r="D510" s="1"/>
      <c r="E510" s="1"/>
      <c r="F510" s="1"/>
      <c r="G510" s="1"/>
      <c r="H510" s="1"/>
    </row>
    <row r="511" ht="15.75" customHeight="1">
      <c r="A511" s="1"/>
      <c r="B511" s="96"/>
      <c r="C511" s="1"/>
      <c r="D511" s="1"/>
      <c r="E511" s="1"/>
      <c r="F511" s="1"/>
      <c r="G511" s="1"/>
      <c r="H511" s="1"/>
    </row>
    <row r="512" ht="15.75" customHeight="1">
      <c r="A512" s="1"/>
      <c r="B512" s="96"/>
      <c r="C512" s="1"/>
      <c r="D512" s="1"/>
      <c r="E512" s="1"/>
      <c r="F512" s="1"/>
      <c r="G512" s="1"/>
      <c r="H512" s="1"/>
    </row>
    <row r="513" ht="15.75" customHeight="1">
      <c r="A513" s="1"/>
      <c r="B513" s="96"/>
      <c r="C513" s="1"/>
      <c r="D513" s="1"/>
      <c r="E513" s="1"/>
      <c r="F513" s="1"/>
      <c r="G513" s="1"/>
      <c r="H513" s="1"/>
    </row>
    <row r="514" ht="15.75" customHeight="1">
      <c r="A514" s="1"/>
      <c r="B514" s="96"/>
      <c r="C514" s="1"/>
      <c r="D514" s="1"/>
      <c r="E514" s="1"/>
      <c r="F514" s="1"/>
      <c r="G514" s="1"/>
      <c r="H514" s="1"/>
    </row>
    <row r="515" ht="15.75" customHeight="1">
      <c r="A515" s="1"/>
      <c r="B515" s="96"/>
      <c r="C515" s="1"/>
      <c r="D515" s="1"/>
      <c r="E515" s="1"/>
      <c r="F515" s="1"/>
      <c r="G515" s="1"/>
      <c r="H515" s="1"/>
    </row>
    <row r="516" ht="15.75" customHeight="1">
      <c r="A516" s="1"/>
      <c r="B516" s="96"/>
      <c r="C516" s="1"/>
      <c r="D516" s="1"/>
      <c r="E516" s="1"/>
      <c r="F516" s="1"/>
      <c r="G516" s="1"/>
      <c r="H516" s="1"/>
    </row>
    <row r="517" ht="15.75" customHeight="1">
      <c r="A517" s="1"/>
      <c r="B517" s="96"/>
      <c r="C517" s="1"/>
      <c r="D517" s="1"/>
      <c r="E517" s="1"/>
      <c r="F517" s="1"/>
      <c r="G517" s="1"/>
      <c r="H517" s="1"/>
    </row>
    <row r="518" ht="15.75" customHeight="1">
      <c r="A518" s="1"/>
      <c r="B518" s="96"/>
      <c r="C518" s="1"/>
      <c r="D518" s="1"/>
      <c r="E518" s="1"/>
      <c r="F518" s="1"/>
      <c r="G518" s="1"/>
      <c r="H518" s="1"/>
    </row>
    <row r="519" ht="15.75" customHeight="1">
      <c r="A519" s="1"/>
      <c r="B519" s="96"/>
      <c r="C519" s="1"/>
      <c r="D519" s="1"/>
      <c r="E519" s="1"/>
      <c r="F519" s="1"/>
      <c r="G519" s="1"/>
      <c r="H519" s="1"/>
    </row>
    <row r="520" ht="15.75" customHeight="1">
      <c r="A520" s="1"/>
      <c r="B520" s="96"/>
      <c r="C520" s="1"/>
      <c r="D520" s="1"/>
      <c r="E520" s="1"/>
      <c r="F520" s="1"/>
      <c r="G520" s="1"/>
      <c r="H520" s="1"/>
    </row>
    <row r="521" ht="15.75" customHeight="1">
      <c r="A521" s="1"/>
      <c r="B521" s="96"/>
      <c r="C521" s="1"/>
      <c r="D521" s="1"/>
      <c r="E521" s="1"/>
      <c r="F521" s="1"/>
      <c r="G521" s="1"/>
      <c r="H521" s="1"/>
    </row>
    <row r="522" ht="15.75" customHeight="1">
      <c r="A522" s="1"/>
      <c r="B522" s="96"/>
      <c r="C522" s="1"/>
      <c r="D522" s="1"/>
      <c r="E522" s="1"/>
      <c r="F522" s="1"/>
      <c r="G522" s="1"/>
      <c r="H522" s="1"/>
    </row>
    <row r="523" ht="15.75" customHeight="1">
      <c r="A523" s="1"/>
      <c r="B523" s="96"/>
      <c r="C523" s="1"/>
      <c r="D523" s="1"/>
      <c r="E523" s="1"/>
      <c r="F523" s="1"/>
      <c r="G523" s="1"/>
      <c r="H523" s="1"/>
    </row>
    <row r="524" ht="15.75" customHeight="1">
      <c r="A524" s="1"/>
      <c r="B524" s="96"/>
      <c r="C524" s="1"/>
      <c r="D524" s="1"/>
      <c r="E524" s="1"/>
      <c r="F524" s="1"/>
      <c r="G524" s="1"/>
      <c r="H524" s="1"/>
    </row>
    <row r="525" ht="15.75" customHeight="1">
      <c r="A525" s="1"/>
      <c r="B525" s="96"/>
      <c r="C525" s="1"/>
      <c r="D525" s="1"/>
      <c r="E525" s="1"/>
      <c r="F525" s="1"/>
      <c r="G525" s="1"/>
      <c r="H525" s="1"/>
    </row>
    <row r="526" ht="15.75" customHeight="1">
      <c r="A526" s="1"/>
      <c r="B526" s="96"/>
      <c r="C526" s="1"/>
      <c r="D526" s="1"/>
      <c r="E526" s="1"/>
      <c r="F526" s="1"/>
      <c r="G526" s="1"/>
      <c r="H526" s="1"/>
    </row>
    <row r="527" ht="15.75" customHeight="1">
      <c r="A527" s="1"/>
      <c r="B527" s="96"/>
      <c r="C527" s="1"/>
      <c r="D527" s="1"/>
      <c r="E527" s="1"/>
      <c r="F527" s="1"/>
      <c r="G527" s="1"/>
      <c r="H527" s="1"/>
    </row>
    <row r="528" ht="15.75" customHeight="1">
      <c r="A528" s="1"/>
      <c r="B528" s="96"/>
      <c r="C528" s="1"/>
      <c r="D528" s="1"/>
      <c r="E528" s="1"/>
      <c r="F528" s="1"/>
      <c r="G528" s="1"/>
      <c r="H528" s="1"/>
    </row>
    <row r="529" ht="15.75" customHeight="1">
      <c r="A529" s="1"/>
      <c r="B529" s="96"/>
      <c r="C529" s="1"/>
      <c r="D529" s="1"/>
      <c r="E529" s="1"/>
      <c r="F529" s="1"/>
      <c r="G529" s="1"/>
      <c r="H529" s="1"/>
    </row>
    <row r="530" ht="15.75" customHeight="1">
      <c r="A530" s="1"/>
      <c r="B530" s="96"/>
      <c r="C530" s="1"/>
      <c r="D530" s="1"/>
      <c r="E530" s="1"/>
      <c r="F530" s="1"/>
      <c r="G530" s="1"/>
      <c r="H530" s="1"/>
    </row>
    <row r="531" ht="15.75" customHeight="1">
      <c r="A531" s="1"/>
      <c r="B531" s="96"/>
      <c r="C531" s="1"/>
      <c r="D531" s="1"/>
      <c r="E531" s="1"/>
      <c r="F531" s="1"/>
      <c r="G531" s="1"/>
      <c r="H531" s="1"/>
    </row>
    <row r="532" ht="15.75" customHeight="1">
      <c r="A532" s="1"/>
      <c r="B532" s="96"/>
      <c r="C532" s="1"/>
      <c r="D532" s="1"/>
      <c r="E532" s="1"/>
      <c r="F532" s="1"/>
      <c r="G532" s="1"/>
      <c r="H532" s="1"/>
    </row>
    <row r="533" ht="15.75" customHeight="1">
      <c r="A533" s="1"/>
      <c r="B533" s="96"/>
      <c r="C533" s="1"/>
      <c r="D533" s="1"/>
      <c r="E533" s="1"/>
      <c r="F533" s="1"/>
      <c r="G533" s="1"/>
      <c r="H533" s="1"/>
    </row>
    <row r="534" ht="15.75" customHeight="1">
      <c r="A534" s="1"/>
      <c r="B534" s="96"/>
      <c r="C534" s="1"/>
      <c r="D534" s="1"/>
      <c r="E534" s="1"/>
      <c r="F534" s="1"/>
      <c r="G534" s="1"/>
      <c r="H534" s="1"/>
    </row>
    <row r="535" ht="15.75" customHeight="1">
      <c r="A535" s="1"/>
      <c r="B535" s="96"/>
      <c r="C535" s="1"/>
      <c r="D535" s="1"/>
      <c r="E535" s="1"/>
      <c r="F535" s="1"/>
      <c r="G535" s="1"/>
      <c r="H535" s="1"/>
    </row>
    <row r="536" ht="15.75" customHeight="1">
      <c r="A536" s="1"/>
      <c r="B536" s="96"/>
      <c r="C536" s="1"/>
      <c r="D536" s="1"/>
      <c r="E536" s="1"/>
      <c r="F536" s="1"/>
      <c r="G536" s="1"/>
      <c r="H536" s="1"/>
    </row>
    <row r="537" ht="15.75" customHeight="1">
      <c r="A537" s="1"/>
      <c r="B537" s="96"/>
      <c r="C537" s="1"/>
      <c r="D537" s="1"/>
      <c r="E537" s="1"/>
      <c r="F537" s="1"/>
      <c r="G537" s="1"/>
      <c r="H537" s="1"/>
    </row>
    <row r="538" ht="15.75" customHeight="1">
      <c r="A538" s="1"/>
      <c r="B538" s="96"/>
      <c r="C538" s="1"/>
      <c r="D538" s="1"/>
      <c r="E538" s="1"/>
      <c r="F538" s="1"/>
      <c r="G538" s="1"/>
      <c r="H538" s="1"/>
    </row>
    <row r="539" ht="15.75" customHeight="1">
      <c r="A539" s="1"/>
      <c r="B539" s="96"/>
      <c r="C539" s="1"/>
      <c r="D539" s="1"/>
      <c r="E539" s="1"/>
      <c r="F539" s="1"/>
      <c r="G539" s="1"/>
      <c r="H539" s="1"/>
    </row>
    <row r="540" ht="15.75" customHeight="1">
      <c r="A540" s="1"/>
      <c r="B540" s="96"/>
      <c r="C540" s="1"/>
      <c r="D540" s="1"/>
      <c r="E540" s="1"/>
      <c r="F540" s="1"/>
      <c r="G540" s="1"/>
      <c r="H540" s="1"/>
    </row>
    <row r="541" ht="15.75" customHeight="1">
      <c r="A541" s="1"/>
      <c r="B541" s="96"/>
      <c r="C541" s="1"/>
      <c r="D541" s="1"/>
      <c r="E541" s="1"/>
      <c r="F541" s="1"/>
      <c r="G541" s="1"/>
      <c r="H541" s="1"/>
    </row>
    <row r="542" ht="15.75" customHeight="1">
      <c r="A542" s="1"/>
      <c r="B542" s="96"/>
      <c r="C542" s="1"/>
      <c r="D542" s="1"/>
      <c r="E542" s="1"/>
      <c r="F542" s="1"/>
      <c r="G542" s="1"/>
      <c r="H542" s="1"/>
    </row>
    <row r="543" ht="15.75" customHeight="1">
      <c r="A543" s="1"/>
      <c r="B543" s="96"/>
      <c r="C543" s="1"/>
      <c r="D543" s="1"/>
      <c r="E543" s="1"/>
      <c r="F543" s="1"/>
      <c r="G543" s="1"/>
      <c r="H543" s="1"/>
    </row>
    <row r="544" ht="15.75" customHeight="1">
      <c r="A544" s="1"/>
      <c r="B544" s="96"/>
      <c r="C544" s="1"/>
      <c r="D544" s="1"/>
      <c r="E544" s="1"/>
      <c r="F544" s="1"/>
      <c r="G544" s="1"/>
      <c r="H544" s="1"/>
    </row>
    <row r="545" ht="15.75" customHeight="1">
      <c r="A545" s="1"/>
      <c r="B545" s="96"/>
      <c r="C545" s="1"/>
      <c r="D545" s="1"/>
      <c r="E545" s="1"/>
      <c r="F545" s="1"/>
      <c r="G545" s="1"/>
      <c r="H545" s="1"/>
    </row>
    <row r="546" ht="15.75" customHeight="1">
      <c r="A546" s="1"/>
      <c r="B546" s="96"/>
      <c r="C546" s="1"/>
      <c r="D546" s="1"/>
      <c r="E546" s="1"/>
      <c r="F546" s="1"/>
      <c r="G546" s="1"/>
      <c r="H546" s="1"/>
    </row>
    <row r="547" ht="15.75" customHeight="1">
      <c r="A547" s="1"/>
      <c r="B547" s="96"/>
      <c r="C547" s="1"/>
      <c r="D547" s="1"/>
      <c r="E547" s="1"/>
      <c r="F547" s="1"/>
      <c r="G547" s="1"/>
      <c r="H547" s="1"/>
    </row>
    <row r="548" ht="15.75" customHeight="1">
      <c r="A548" s="1"/>
      <c r="B548" s="96"/>
      <c r="C548" s="1"/>
      <c r="D548" s="1"/>
      <c r="E548" s="1"/>
      <c r="F548" s="1"/>
      <c r="G548" s="1"/>
      <c r="H548" s="1"/>
    </row>
    <row r="549" ht="15.75" customHeight="1">
      <c r="A549" s="1"/>
      <c r="B549" s="96"/>
      <c r="C549" s="1"/>
      <c r="D549" s="1"/>
      <c r="E549" s="1"/>
      <c r="F549" s="1"/>
      <c r="G549" s="1"/>
      <c r="H549" s="1"/>
    </row>
    <row r="550" ht="15.75" customHeight="1">
      <c r="A550" s="1"/>
      <c r="B550" s="96"/>
      <c r="C550" s="1"/>
      <c r="D550" s="1"/>
      <c r="E550" s="1"/>
      <c r="F550" s="1"/>
      <c r="G550" s="1"/>
      <c r="H550" s="1"/>
    </row>
    <row r="551" ht="15.75" customHeight="1">
      <c r="A551" s="1"/>
      <c r="B551" s="96"/>
      <c r="C551" s="1"/>
      <c r="D551" s="1"/>
      <c r="E551" s="1"/>
      <c r="F551" s="1"/>
      <c r="G551" s="1"/>
      <c r="H551" s="1"/>
    </row>
    <row r="552" ht="15.75" customHeight="1">
      <c r="A552" s="1"/>
      <c r="B552" s="96"/>
      <c r="C552" s="1"/>
      <c r="D552" s="1"/>
      <c r="E552" s="1"/>
      <c r="F552" s="1"/>
      <c r="G552" s="1"/>
      <c r="H552" s="1"/>
    </row>
    <row r="553" ht="15.75" customHeight="1">
      <c r="A553" s="1"/>
      <c r="B553" s="96"/>
      <c r="C553" s="1"/>
      <c r="D553" s="1"/>
      <c r="E553" s="1"/>
      <c r="F553" s="1"/>
      <c r="G553" s="1"/>
      <c r="H553" s="1"/>
    </row>
    <row r="554" ht="15.75" customHeight="1">
      <c r="A554" s="1"/>
      <c r="B554" s="96"/>
      <c r="C554" s="1"/>
      <c r="D554" s="1"/>
      <c r="E554" s="1"/>
      <c r="F554" s="1"/>
      <c r="G554" s="1"/>
      <c r="H554" s="1"/>
    </row>
    <row r="555" ht="15.75" customHeight="1">
      <c r="A555" s="1"/>
      <c r="B555" s="96"/>
      <c r="C555" s="1"/>
      <c r="D555" s="1"/>
      <c r="E555" s="1"/>
      <c r="F555" s="1"/>
      <c r="G555" s="1"/>
      <c r="H555" s="1"/>
    </row>
    <row r="556" ht="15.75" customHeight="1">
      <c r="A556" s="1"/>
      <c r="B556" s="96"/>
      <c r="C556" s="1"/>
      <c r="D556" s="1"/>
      <c r="E556" s="1"/>
      <c r="F556" s="1"/>
      <c r="G556" s="1"/>
      <c r="H556" s="1"/>
    </row>
    <row r="557" ht="15.75" customHeight="1">
      <c r="A557" s="1"/>
      <c r="B557" s="96"/>
      <c r="C557" s="1"/>
      <c r="D557" s="1"/>
      <c r="E557" s="1"/>
      <c r="F557" s="1"/>
      <c r="G557" s="1"/>
      <c r="H557" s="1"/>
    </row>
    <row r="558" ht="15.75" customHeight="1">
      <c r="A558" s="1"/>
      <c r="B558" s="96"/>
      <c r="C558" s="1"/>
      <c r="D558" s="1"/>
      <c r="E558" s="1"/>
      <c r="F558" s="1"/>
      <c r="G558" s="1"/>
      <c r="H558" s="1"/>
    </row>
    <row r="559" ht="15.75" customHeight="1">
      <c r="A559" s="1"/>
      <c r="B559" s="96"/>
      <c r="C559" s="1"/>
      <c r="D559" s="1"/>
      <c r="E559" s="1"/>
      <c r="F559" s="1"/>
      <c r="G559" s="1"/>
      <c r="H559" s="1"/>
    </row>
    <row r="560" ht="15.75" customHeight="1">
      <c r="A560" s="1"/>
      <c r="B560" s="96"/>
      <c r="C560" s="1"/>
      <c r="D560" s="1"/>
      <c r="E560" s="1"/>
      <c r="F560" s="1"/>
      <c r="G560" s="1"/>
      <c r="H560" s="1"/>
    </row>
    <row r="561" ht="15.75" customHeight="1">
      <c r="A561" s="1"/>
      <c r="B561" s="96"/>
      <c r="C561" s="1"/>
      <c r="D561" s="1"/>
      <c r="E561" s="1"/>
      <c r="F561" s="1"/>
      <c r="G561" s="1"/>
      <c r="H561" s="1"/>
    </row>
    <row r="562" ht="15.75" customHeight="1">
      <c r="A562" s="1"/>
      <c r="B562" s="96"/>
      <c r="C562" s="1"/>
      <c r="D562" s="1"/>
      <c r="E562" s="1"/>
      <c r="F562" s="1"/>
      <c r="G562" s="1"/>
      <c r="H562" s="1"/>
    </row>
    <row r="563" ht="15.75" customHeight="1">
      <c r="A563" s="1"/>
      <c r="B563" s="96"/>
      <c r="C563" s="1"/>
      <c r="D563" s="1"/>
      <c r="E563" s="1"/>
      <c r="F563" s="1"/>
      <c r="G563" s="1"/>
      <c r="H563" s="1"/>
    </row>
    <row r="564" ht="15.75" customHeight="1">
      <c r="A564" s="1"/>
      <c r="B564" s="96"/>
      <c r="C564" s="1"/>
      <c r="D564" s="1"/>
      <c r="E564" s="1"/>
      <c r="F564" s="1"/>
      <c r="G564" s="1"/>
      <c r="H564" s="1"/>
    </row>
    <row r="565" ht="15.75" customHeight="1">
      <c r="A565" s="1"/>
      <c r="B565" s="96"/>
      <c r="C565" s="1"/>
      <c r="D565" s="1"/>
      <c r="E565" s="1"/>
      <c r="F565" s="1"/>
      <c r="G565" s="1"/>
      <c r="H565" s="1"/>
    </row>
    <row r="566" ht="15.75" customHeight="1">
      <c r="A566" s="1"/>
      <c r="B566" s="96"/>
      <c r="C566" s="1"/>
      <c r="D566" s="1"/>
      <c r="E566" s="1"/>
      <c r="F566" s="1"/>
      <c r="G566" s="1"/>
      <c r="H566" s="1"/>
    </row>
    <row r="567" ht="15.75" customHeight="1">
      <c r="A567" s="1"/>
      <c r="B567" s="96"/>
      <c r="C567" s="1"/>
      <c r="D567" s="1"/>
      <c r="E567" s="1"/>
      <c r="F567" s="1"/>
      <c r="G567" s="1"/>
      <c r="H567" s="1"/>
    </row>
    <row r="568" ht="15.75" customHeight="1">
      <c r="A568" s="1"/>
      <c r="B568" s="96"/>
      <c r="C568" s="1"/>
      <c r="D568" s="1"/>
      <c r="E568" s="1"/>
      <c r="F568" s="1"/>
      <c r="G568" s="1"/>
      <c r="H568" s="1"/>
    </row>
    <row r="569" ht="15.75" customHeight="1">
      <c r="A569" s="1"/>
      <c r="B569" s="96"/>
      <c r="C569" s="1"/>
      <c r="D569" s="1"/>
      <c r="E569" s="1"/>
      <c r="F569" s="1"/>
      <c r="G569" s="1"/>
      <c r="H569" s="1"/>
    </row>
    <row r="570" ht="15.75" customHeight="1">
      <c r="A570" s="1"/>
      <c r="B570" s="96"/>
      <c r="C570" s="1"/>
      <c r="D570" s="1"/>
      <c r="E570" s="1"/>
      <c r="F570" s="1"/>
      <c r="G570" s="1"/>
      <c r="H570" s="1"/>
    </row>
    <row r="571" ht="15.75" customHeight="1">
      <c r="A571" s="1"/>
      <c r="B571" s="96"/>
      <c r="C571" s="1"/>
      <c r="D571" s="1"/>
      <c r="E571" s="1"/>
      <c r="F571" s="1"/>
      <c r="G571" s="1"/>
      <c r="H571" s="1"/>
    </row>
    <row r="572" ht="15.75" customHeight="1">
      <c r="A572" s="1"/>
      <c r="B572" s="96"/>
      <c r="C572" s="1"/>
      <c r="D572" s="1"/>
      <c r="E572" s="1"/>
      <c r="F572" s="1"/>
      <c r="G572" s="1"/>
      <c r="H572" s="1"/>
    </row>
    <row r="573" ht="15.75" customHeight="1">
      <c r="A573" s="1"/>
      <c r="B573" s="96"/>
      <c r="C573" s="1"/>
      <c r="D573" s="1"/>
      <c r="E573" s="1"/>
      <c r="F573" s="1"/>
      <c r="G573" s="1"/>
      <c r="H573" s="1"/>
    </row>
    <row r="574" ht="15.75" customHeight="1">
      <c r="A574" s="1"/>
      <c r="B574" s="96"/>
      <c r="C574" s="1"/>
      <c r="D574" s="1"/>
      <c r="E574" s="1"/>
      <c r="F574" s="1"/>
      <c r="G574" s="1"/>
      <c r="H574" s="1"/>
    </row>
    <row r="575" ht="15.75" customHeight="1">
      <c r="A575" s="1"/>
      <c r="B575" s="96"/>
      <c r="C575" s="1"/>
      <c r="D575" s="1"/>
      <c r="E575" s="1"/>
      <c r="F575" s="1"/>
      <c r="G575" s="1"/>
      <c r="H575" s="1"/>
    </row>
    <row r="576" ht="15.75" customHeight="1">
      <c r="A576" s="1"/>
      <c r="B576" s="96"/>
      <c r="C576" s="1"/>
      <c r="D576" s="1"/>
      <c r="E576" s="1"/>
      <c r="F576" s="1"/>
      <c r="G576" s="1"/>
      <c r="H576" s="1"/>
    </row>
    <row r="577" ht="15.75" customHeight="1">
      <c r="A577" s="1"/>
      <c r="B577" s="96"/>
      <c r="C577" s="1"/>
      <c r="D577" s="1"/>
      <c r="E577" s="1"/>
      <c r="F577" s="1"/>
      <c r="G577" s="1"/>
      <c r="H577" s="1"/>
    </row>
    <row r="578" ht="15.75" customHeight="1">
      <c r="A578" s="1"/>
      <c r="B578" s="96"/>
      <c r="C578" s="1"/>
      <c r="D578" s="1"/>
      <c r="E578" s="1"/>
      <c r="F578" s="1"/>
      <c r="G578" s="1"/>
      <c r="H578" s="1"/>
    </row>
    <row r="579" ht="15.75" customHeight="1">
      <c r="A579" s="1"/>
      <c r="B579" s="96"/>
      <c r="C579" s="1"/>
      <c r="D579" s="1"/>
      <c r="E579" s="1"/>
      <c r="F579" s="1"/>
      <c r="G579" s="1"/>
      <c r="H579" s="1"/>
    </row>
    <row r="580" ht="15.75" customHeight="1">
      <c r="A580" s="1"/>
      <c r="B580" s="96"/>
      <c r="C580" s="1"/>
      <c r="D580" s="1"/>
      <c r="E580" s="1"/>
      <c r="F580" s="1"/>
      <c r="G580" s="1"/>
      <c r="H580" s="1"/>
    </row>
    <row r="581" ht="15.75" customHeight="1">
      <c r="A581" s="1"/>
      <c r="B581" s="96"/>
      <c r="C581" s="1"/>
      <c r="D581" s="1"/>
      <c r="E581" s="1"/>
      <c r="F581" s="1"/>
      <c r="G581" s="1"/>
      <c r="H581" s="1"/>
    </row>
    <row r="582" ht="15.75" customHeight="1">
      <c r="A582" s="1"/>
      <c r="B582" s="96"/>
      <c r="C582" s="1"/>
      <c r="D582" s="1"/>
      <c r="E582" s="1"/>
      <c r="F582" s="1"/>
      <c r="G582" s="1"/>
      <c r="H582" s="1"/>
    </row>
    <row r="583" ht="15.75" customHeight="1">
      <c r="A583" s="1"/>
      <c r="B583" s="96"/>
      <c r="C583" s="1"/>
      <c r="D583" s="1"/>
      <c r="E583" s="1"/>
      <c r="F583" s="1"/>
      <c r="G583" s="1"/>
      <c r="H583" s="1"/>
    </row>
    <row r="584" ht="15.75" customHeight="1">
      <c r="A584" s="1"/>
      <c r="B584" s="96"/>
      <c r="C584" s="1"/>
      <c r="D584" s="1"/>
      <c r="E584" s="1"/>
      <c r="F584" s="1"/>
      <c r="G584" s="1"/>
      <c r="H584" s="1"/>
    </row>
    <row r="585" ht="15.75" customHeight="1">
      <c r="A585" s="1"/>
      <c r="B585" s="96"/>
      <c r="C585" s="1"/>
      <c r="D585" s="1"/>
      <c r="E585" s="1"/>
      <c r="F585" s="1"/>
      <c r="G585" s="1"/>
      <c r="H585" s="1"/>
    </row>
    <row r="586" ht="15.75" customHeight="1">
      <c r="A586" s="1"/>
      <c r="B586" s="96"/>
      <c r="C586" s="1"/>
      <c r="D586" s="1"/>
      <c r="E586" s="1"/>
      <c r="F586" s="1"/>
      <c r="G586" s="1"/>
      <c r="H586" s="1"/>
    </row>
    <row r="587" ht="15.75" customHeight="1">
      <c r="A587" s="1"/>
      <c r="B587" s="96"/>
      <c r="C587" s="1"/>
      <c r="D587" s="1"/>
      <c r="E587" s="1"/>
      <c r="F587" s="1"/>
      <c r="G587" s="1"/>
      <c r="H587" s="1"/>
    </row>
    <row r="588" ht="15.75" customHeight="1">
      <c r="A588" s="1"/>
      <c r="B588" s="96"/>
      <c r="C588" s="1"/>
      <c r="D588" s="1"/>
      <c r="E588" s="1"/>
      <c r="F588" s="1"/>
      <c r="G588" s="1"/>
      <c r="H588" s="1"/>
    </row>
    <row r="589" ht="15.75" customHeight="1">
      <c r="A589" s="1"/>
      <c r="B589" s="96"/>
      <c r="C589" s="1"/>
      <c r="D589" s="1"/>
      <c r="E589" s="1"/>
      <c r="F589" s="1"/>
      <c r="G589" s="1"/>
      <c r="H589" s="1"/>
    </row>
    <row r="590" ht="15.75" customHeight="1">
      <c r="A590" s="1"/>
      <c r="B590" s="96"/>
      <c r="C590" s="1"/>
      <c r="D590" s="1"/>
      <c r="E590" s="1"/>
      <c r="F590" s="1"/>
      <c r="G590" s="1"/>
      <c r="H590" s="1"/>
    </row>
    <row r="591" ht="15.75" customHeight="1">
      <c r="A591" s="1"/>
      <c r="B591" s="96"/>
      <c r="C591" s="1"/>
      <c r="D591" s="1"/>
      <c r="E591" s="1"/>
      <c r="F591" s="1"/>
      <c r="G591" s="1"/>
      <c r="H591" s="1"/>
    </row>
    <row r="592" ht="15.75" customHeight="1">
      <c r="A592" s="1"/>
      <c r="B592" s="96"/>
      <c r="C592" s="1"/>
      <c r="D592" s="1"/>
      <c r="E592" s="1"/>
      <c r="F592" s="1"/>
      <c r="G592" s="1"/>
      <c r="H592" s="1"/>
    </row>
    <row r="593" ht="15.75" customHeight="1">
      <c r="A593" s="1"/>
      <c r="B593" s="96"/>
      <c r="C593" s="1"/>
      <c r="D593" s="1"/>
      <c r="E593" s="1"/>
      <c r="F593" s="1"/>
      <c r="G593" s="1"/>
      <c r="H593" s="1"/>
    </row>
    <row r="594" ht="15.75" customHeight="1">
      <c r="A594" s="1"/>
      <c r="B594" s="96"/>
      <c r="C594" s="1"/>
      <c r="D594" s="1"/>
      <c r="E594" s="1"/>
      <c r="F594" s="1"/>
      <c r="G594" s="1"/>
      <c r="H594" s="1"/>
    </row>
    <row r="595" ht="15.75" customHeight="1">
      <c r="A595" s="1"/>
      <c r="B595" s="96"/>
      <c r="C595" s="1"/>
      <c r="D595" s="1"/>
      <c r="E595" s="1"/>
      <c r="F595" s="1"/>
      <c r="G595" s="1"/>
      <c r="H595" s="1"/>
    </row>
    <row r="596" ht="15.75" customHeight="1">
      <c r="A596" s="1"/>
      <c r="B596" s="96"/>
      <c r="C596" s="1"/>
      <c r="D596" s="1"/>
      <c r="E596" s="1"/>
      <c r="F596" s="1"/>
      <c r="G596" s="1"/>
      <c r="H596" s="1"/>
    </row>
    <row r="597" ht="15.75" customHeight="1">
      <c r="A597" s="1"/>
      <c r="B597" s="96"/>
      <c r="C597" s="1"/>
      <c r="D597" s="1"/>
      <c r="E597" s="1"/>
      <c r="F597" s="1"/>
      <c r="G597" s="1"/>
      <c r="H597" s="1"/>
    </row>
    <row r="598" ht="15.75" customHeight="1">
      <c r="A598" s="1"/>
      <c r="B598" s="96"/>
      <c r="C598" s="1"/>
      <c r="D598" s="1"/>
      <c r="E598" s="1"/>
      <c r="F598" s="1"/>
      <c r="G598" s="1"/>
      <c r="H598" s="1"/>
    </row>
    <row r="599" ht="15.75" customHeight="1">
      <c r="A599" s="1"/>
      <c r="B599" s="96"/>
      <c r="C599" s="1"/>
      <c r="D599" s="1"/>
      <c r="E599" s="1"/>
      <c r="F599" s="1"/>
      <c r="G599" s="1"/>
      <c r="H599" s="1"/>
    </row>
    <row r="600" ht="15.75" customHeight="1">
      <c r="A600" s="1"/>
      <c r="B600" s="96"/>
      <c r="C600" s="1"/>
      <c r="D600" s="1"/>
      <c r="E600" s="1"/>
      <c r="F600" s="1"/>
      <c r="G600" s="1"/>
      <c r="H600" s="1"/>
    </row>
    <row r="601" ht="15.75" customHeight="1">
      <c r="A601" s="1"/>
      <c r="B601" s="96"/>
      <c r="C601" s="1"/>
      <c r="D601" s="1"/>
      <c r="E601" s="1"/>
      <c r="F601" s="1"/>
      <c r="G601" s="1"/>
      <c r="H601" s="1"/>
    </row>
    <row r="602" ht="15.75" customHeight="1">
      <c r="A602" s="1"/>
      <c r="B602" s="96"/>
      <c r="C602" s="1"/>
      <c r="D602" s="1"/>
      <c r="E602" s="1"/>
      <c r="F602" s="1"/>
      <c r="G602" s="1"/>
      <c r="H602" s="1"/>
    </row>
    <row r="603" ht="15.75" customHeight="1">
      <c r="A603" s="1"/>
      <c r="B603" s="96"/>
      <c r="C603" s="1"/>
      <c r="D603" s="1"/>
      <c r="E603" s="1"/>
      <c r="F603" s="1"/>
      <c r="G603" s="1"/>
      <c r="H603" s="1"/>
    </row>
    <row r="604" ht="15.75" customHeight="1">
      <c r="A604" s="1"/>
      <c r="B604" s="96"/>
      <c r="C604" s="1"/>
      <c r="D604" s="1"/>
      <c r="E604" s="1"/>
      <c r="F604" s="1"/>
      <c r="G604" s="1"/>
      <c r="H604" s="1"/>
    </row>
    <row r="605" ht="15.75" customHeight="1">
      <c r="A605" s="1"/>
      <c r="B605" s="96"/>
      <c r="C605" s="1"/>
      <c r="D605" s="1"/>
      <c r="E605" s="1"/>
      <c r="F605" s="1"/>
      <c r="G605" s="1"/>
      <c r="H605" s="1"/>
    </row>
    <row r="606" ht="15.75" customHeight="1">
      <c r="A606" s="1"/>
      <c r="B606" s="96"/>
      <c r="C606" s="1"/>
      <c r="D606" s="1"/>
      <c r="E606" s="1"/>
      <c r="F606" s="1"/>
      <c r="G606" s="1"/>
      <c r="H606" s="1"/>
    </row>
    <row r="607" ht="15.75" customHeight="1">
      <c r="A607" s="1"/>
      <c r="B607" s="96"/>
      <c r="C607" s="1"/>
      <c r="D607" s="1"/>
      <c r="E607" s="1"/>
      <c r="F607" s="1"/>
      <c r="G607" s="1"/>
      <c r="H607" s="1"/>
    </row>
    <row r="608" ht="15.75" customHeight="1">
      <c r="A608" s="1"/>
      <c r="B608" s="96"/>
      <c r="C608" s="1"/>
      <c r="D608" s="1"/>
      <c r="E608" s="1"/>
      <c r="F608" s="1"/>
      <c r="G608" s="1"/>
      <c r="H608" s="1"/>
    </row>
    <row r="609" ht="15.75" customHeight="1">
      <c r="A609" s="1"/>
      <c r="B609" s="96"/>
      <c r="C609" s="1"/>
      <c r="D609" s="1"/>
      <c r="E609" s="1"/>
      <c r="F609" s="1"/>
      <c r="G609" s="1"/>
      <c r="H609" s="1"/>
    </row>
    <row r="610" ht="15.75" customHeight="1">
      <c r="A610" s="1"/>
      <c r="B610" s="96"/>
      <c r="C610" s="1"/>
      <c r="D610" s="1"/>
      <c r="E610" s="1"/>
      <c r="F610" s="1"/>
      <c r="G610" s="1"/>
      <c r="H610" s="1"/>
    </row>
    <row r="611" ht="15.75" customHeight="1">
      <c r="A611" s="1"/>
      <c r="B611" s="96"/>
      <c r="C611" s="1"/>
      <c r="D611" s="1"/>
      <c r="E611" s="1"/>
      <c r="F611" s="1"/>
      <c r="G611" s="1"/>
      <c r="H611" s="1"/>
    </row>
    <row r="612" ht="15.75" customHeight="1">
      <c r="A612" s="1"/>
      <c r="B612" s="96"/>
      <c r="C612" s="1"/>
      <c r="D612" s="1"/>
      <c r="E612" s="1"/>
      <c r="F612" s="1"/>
      <c r="G612" s="1"/>
      <c r="H612" s="1"/>
    </row>
    <row r="613" ht="15.75" customHeight="1">
      <c r="A613" s="1"/>
      <c r="B613" s="96"/>
      <c r="C613" s="1"/>
      <c r="D613" s="1"/>
      <c r="E613" s="1"/>
      <c r="F613" s="1"/>
      <c r="G613" s="1"/>
      <c r="H613" s="1"/>
    </row>
    <row r="614" ht="15.75" customHeight="1">
      <c r="A614" s="1"/>
      <c r="B614" s="96"/>
      <c r="C614" s="1"/>
      <c r="D614" s="1"/>
      <c r="E614" s="1"/>
      <c r="F614" s="1"/>
      <c r="G614" s="1"/>
      <c r="H614" s="1"/>
    </row>
    <row r="615" ht="15.75" customHeight="1">
      <c r="A615" s="1"/>
      <c r="B615" s="96"/>
      <c r="C615" s="1"/>
      <c r="D615" s="1"/>
      <c r="E615" s="1"/>
      <c r="F615" s="1"/>
      <c r="G615" s="1"/>
      <c r="H615" s="1"/>
    </row>
    <row r="616" ht="15.75" customHeight="1">
      <c r="A616" s="1"/>
      <c r="B616" s="96"/>
      <c r="C616" s="1"/>
      <c r="D616" s="1"/>
      <c r="E616" s="1"/>
      <c r="F616" s="1"/>
      <c r="G616" s="1"/>
      <c r="H616" s="1"/>
    </row>
    <row r="617" ht="15.75" customHeight="1">
      <c r="A617" s="1"/>
      <c r="B617" s="96"/>
      <c r="C617" s="1"/>
      <c r="D617" s="1"/>
      <c r="E617" s="1"/>
      <c r="F617" s="1"/>
      <c r="G617" s="1"/>
      <c r="H617" s="1"/>
    </row>
    <row r="618" ht="15.75" customHeight="1">
      <c r="A618" s="1"/>
      <c r="B618" s="96"/>
      <c r="C618" s="1"/>
      <c r="D618" s="1"/>
      <c r="E618" s="1"/>
      <c r="F618" s="1"/>
      <c r="G618" s="1"/>
      <c r="H618" s="1"/>
    </row>
    <row r="619" ht="15.75" customHeight="1">
      <c r="A619" s="1"/>
      <c r="B619" s="96"/>
      <c r="C619" s="1"/>
      <c r="D619" s="1"/>
      <c r="E619" s="1"/>
      <c r="F619" s="1"/>
      <c r="G619" s="1"/>
      <c r="H619" s="1"/>
    </row>
    <row r="620" ht="15.75" customHeight="1">
      <c r="A620" s="1"/>
      <c r="B620" s="96"/>
      <c r="C620" s="1"/>
      <c r="D620" s="1"/>
      <c r="E620" s="1"/>
      <c r="F620" s="1"/>
      <c r="G620" s="1"/>
      <c r="H620" s="1"/>
    </row>
    <row r="621" ht="15.75" customHeight="1">
      <c r="A621" s="1"/>
      <c r="B621" s="96"/>
      <c r="C621" s="1"/>
      <c r="D621" s="1"/>
      <c r="E621" s="1"/>
      <c r="F621" s="1"/>
      <c r="G621" s="1"/>
      <c r="H621" s="1"/>
    </row>
    <row r="622" ht="15.75" customHeight="1">
      <c r="A622" s="1"/>
      <c r="B622" s="96"/>
      <c r="C622" s="1"/>
      <c r="D622" s="1"/>
      <c r="E622" s="1"/>
      <c r="F622" s="1"/>
      <c r="G622" s="1"/>
      <c r="H622" s="1"/>
    </row>
    <row r="623" ht="15.75" customHeight="1">
      <c r="A623" s="1"/>
      <c r="B623" s="96"/>
      <c r="C623" s="1"/>
      <c r="D623" s="1"/>
      <c r="E623" s="1"/>
      <c r="F623" s="1"/>
      <c r="G623" s="1"/>
      <c r="H623" s="1"/>
    </row>
    <row r="624" ht="15.75" customHeight="1">
      <c r="A624" s="1"/>
      <c r="B624" s="96"/>
      <c r="C624" s="1"/>
      <c r="D624" s="1"/>
      <c r="E624" s="1"/>
      <c r="F624" s="1"/>
      <c r="G624" s="1"/>
      <c r="H624" s="1"/>
    </row>
    <row r="625" ht="15.75" customHeight="1">
      <c r="A625" s="1"/>
      <c r="B625" s="96"/>
      <c r="C625" s="1"/>
      <c r="D625" s="1"/>
      <c r="E625" s="1"/>
      <c r="F625" s="1"/>
      <c r="G625" s="1"/>
      <c r="H625" s="1"/>
    </row>
    <row r="626" ht="15.75" customHeight="1">
      <c r="A626" s="1"/>
      <c r="B626" s="96"/>
      <c r="C626" s="1"/>
      <c r="D626" s="1"/>
      <c r="E626" s="1"/>
      <c r="F626" s="1"/>
      <c r="G626" s="1"/>
      <c r="H626" s="1"/>
    </row>
    <row r="627" ht="15.75" customHeight="1">
      <c r="A627" s="1"/>
      <c r="B627" s="96"/>
      <c r="C627" s="1"/>
      <c r="D627" s="1"/>
      <c r="E627" s="1"/>
      <c r="F627" s="1"/>
      <c r="G627" s="1"/>
      <c r="H627" s="1"/>
    </row>
    <row r="628" ht="15.75" customHeight="1">
      <c r="A628" s="1"/>
      <c r="B628" s="96"/>
      <c r="C628" s="1"/>
      <c r="D628" s="1"/>
      <c r="E628" s="1"/>
      <c r="F628" s="1"/>
      <c r="G628" s="1"/>
      <c r="H628" s="1"/>
    </row>
    <row r="629" ht="15.75" customHeight="1">
      <c r="A629" s="1"/>
      <c r="B629" s="96"/>
      <c r="C629" s="1"/>
      <c r="D629" s="1"/>
      <c r="E629" s="1"/>
      <c r="F629" s="1"/>
      <c r="G629" s="1"/>
      <c r="H629" s="1"/>
    </row>
    <row r="630" ht="15.75" customHeight="1">
      <c r="A630" s="1"/>
      <c r="B630" s="96"/>
      <c r="C630" s="1"/>
      <c r="D630" s="1"/>
      <c r="E630" s="1"/>
      <c r="F630" s="1"/>
      <c r="G630" s="1"/>
      <c r="H630" s="1"/>
    </row>
    <row r="631" ht="15.75" customHeight="1">
      <c r="A631" s="1"/>
      <c r="B631" s="96"/>
      <c r="C631" s="1"/>
      <c r="D631" s="1"/>
      <c r="E631" s="1"/>
      <c r="F631" s="1"/>
      <c r="G631" s="1"/>
      <c r="H631" s="1"/>
    </row>
    <row r="632" ht="15.75" customHeight="1">
      <c r="A632" s="1"/>
      <c r="B632" s="96"/>
      <c r="C632" s="1"/>
      <c r="D632" s="1"/>
      <c r="E632" s="1"/>
      <c r="F632" s="1"/>
      <c r="G632" s="1"/>
      <c r="H632" s="1"/>
    </row>
    <row r="633" ht="15.75" customHeight="1">
      <c r="A633" s="1"/>
      <c r="B633" s="96"/>
      <c r="C633" s="1"/>
      <c r="D633" s="1"/>
      <c r="E633" s="1"/>
      <c r="F633" s="1"/>
      <c r="G633" s="1"/>
      <c r="H633" s="1"/>
    </row>
    <row r="634" ht="15.75" customHeight="1">
      <c r="A634" s="1"/>
      <c r="B634" s="96"/>
      <c r="C634" s="1"/>
      <c r="D634" s="1"/>
      <c r="E634" s="1"/>
      <c r="F634" s="1"/>
      <c r="G634" s="1"/>
      <c r="H634" s="1"/>
    </row>
    <row r="635" ht="15.75" customHeight="1">
      <c r="A635" s="1"/>
      <c r="B635" s="96"/>
      <c r="C635" s="1"/>
      <c r="D635" s="1"/>
      <c r="E635" s="1"/>
      <c r="F635" s="1"/>
      <c r="G635" s="1"/>
      <c r="H635" s="1"/>
    </row>
    <row r="636" ht="15.75" customHeight="1">
      <c r="A636" s="1"/>
      <c r="B636" s="96"/>
      <c r="C636" s="1"/>
      <c r="D636" s="1"/>
      <c r="E636" s="1"/>
      <c r="F636" s="1"/>
      <c r="G636" s="1"/>
      <c r="H636" s="1"/>
    </row>
    <row r="637" ht="15.75" customHeight="1">
      <c r="A637" s="1"/>
      <c r="B637" s="96"/>
      <c r="C637" s="1"/>
      <c r="D637" s="1"/>
      <c r="E637" s="1"/>
      <c r="F637" s="1"/>
      <c r="G637" s="1"/>
      <c r="H637" s="1"/>
    </row>
    <row r="638" ht="15.75" customHeight="1">
      <c r="A638" s="1"/>
      <c r="B638" s="96"/>
      <c r="C638" s="1"/>
      <c r="D638" s="1"/>
      <c r="E638" s="1"/>
      <c r="F638" s="1"/>
      <c r="G638" s="1"/>
      <c r="H638" s="1"/>
    </row>
    <row r="639" ht="15.75" customHeight="1">
      <c r="A639" s="1"/>
      <c r="B639" s="96"/>
      <c r="C639" s="1"/>
      <c r="D639" s="1"/>
      <c r="E639" s="1"/>
      <c r="F639" s="1"/>
      <c r="G639" s="1"/>
      <c r="H639" s="1"/>
    </row>
    <row r="640" ht="15.75" customHeight="1">
      <c r="A640" s="1"/>
      <c r="B640" s="96"/>
      <c r="C640" s="1"/>
      <c r="D640" s="1"/>
      <c r="E640" s="1"/>
      <c r="F640" s="1"/>
      <c r="G640" s="1"/>
      <c r="H640" s="1"/>
    </row>
    <row r="641" ht="15.75" customHeight="1">
      <c r="A641" s="1"/>
      <c r="B641" s="96"/>
      <c r="C641" s="1"/>
      <c r="D641" s="1"/>
      <c r="E641" s="1"/>
      <c r="F641" s="1"/>
      <c r="G641" s="1"/>
      <c r="H641" s="1"/>
    </row>
    <row r="642" ht="15.75" customHeight="1">
      <c r="A642" s="1"/>
      <c r="B642" s="96"/>
      <c r="C642" s="1"/>
      <c r="D642" s="1"/>
      <c r="E642" s="1"/>
      <c r="F642" s="1"/>
      <c r="G642" s="1"/>
      <c r="H642" s="1"/>
    </row>
    <row r="643" ht="15.75" customHeight="1">
      <c r="A643" s="1"/>
      <c r="B643" s="96"/>
      <c r="C643" s="1"/>
      <c r="D643" s="1"/>
      <c r="E643" s="1"/>
      <c r="F643" s="1"/>
      <c r="G643" s="1"/>
      <c r="H643" s="1"/>
    </row>
    <row r="644" ht="15.75" customHeight="1">
      <c r="A644" s="1"/>
      <c r="B644" s="96"/>
      <c r="C644" s="1"/>
      <c r="D644" s="1"/>
      <c r="E644" s="1"/>
      <c r="F644" s="1"/>
      <c r="G644" s="1"/>
      <c r="H644" s="1"/>
    </row>
    <row r="645" ht="15.75" customHeight="1">
      <c r="A645" s="1"/>
      <c r="B645" s="96"/>
      <c r="C645" s="1"/>
      <c r="D645" s="1"/>
      <c r="E645" s="1"/>
      <c r="F645" s="1"/>
      <c r="G645" s="1"/>
      <c r="H645" s="1"/>
    </row>
    <row r="646" ht="15.75" customHeight="1">
      <c r="A646" s="1"/>
      <c r="B646" s="96"/>
      <c r="C646" s="1"/>
      <c r="D646" s="1"/>
      <c r="E646" s="1"/>
      <c r="F646" s="1"/>
      <c r="G646" s="1"/>
      <c r="H646" s="1"/>
    </row>
    <row r="647" ht="15.75" customHeight="1">
      <c r="A647" s="1"/>
      <c r="B647" s="96"/>
      <c r="C647" s="1"/>
      <c r="D647" s="1"/>
      <c r="E647" s="1"/>
      <c r="F647" s="1"/>
      <c r="G647" s="1"/>
      <c r="H647" s="1"/>
    </row>
    <row r="648" ht="15.75" customHeight="1">
      <c r="A648" s="1"/>
      <c r="B648" s="96"/>
      <c r="C648" s="1"/>
      <c r="D648" s="1"/>
      <c r="E648" s="1"/>
      <c r="F648" s="1"/>
      <c r="G648" s="1"/>
      <c r="H648" s="1"/>
    </row>
    <row r="649" ht="15.75" customHeight="1">
      <c r="A649" s="1"/>
      <c r="B649" s="96"/>
      <c r="C649" s="1"/>
      <c r="D649" s="1"/>
      <c r="E649" s="1"/>
      <c r="F649" s="1"/>
      <c r="G649" s="1"/>
      <c r="H649" s="1"/>
    </row>
    <row r="650" ht="15.75" customHeight="1">
      <c r="A650" s="1"/>
      <c r="B650" s="96"/>
      <c r="C650" s="1"/>
      <c r="D650" s="1"/>
      <c r="E650" s="1"/>
      <c r="F650" s="1"/>
      <c r="G650" s="1"/>
      <c r="H650" s="1"/>
    </row>
    <row r="651" ht="15.75" customHeight="1">
      <c r="A651" s="1"/>
      <c r="B651" s="96"/>
      <c r="C651" s="1"/>
      <c r="D651" s="1"/>
      <c r="E651" s="1"/>
      <c r="F651" s="1"/>
      <c r="G651" s="1"/>
      <c r="H651" s="1"/>
    </row>
    <row r="652" ht="15.75" customHeight="1">
      <c r="A652" s="1"/>
      <c r="B652" s="96"/>
      <c r="C652" s="1"/>
      <c r="D652" s="1"/>
      <c r="E652" s="1"/>
      <c r="F652" s="1"/>
      <c r="G652" s="1"/>
      <c r="H652" s="1"/>
    </row>
    <row r="653" ht="15.75" customHeight="1">
      <c r="A653" s="1"/>
      <c r="B653" s="96"/>
      <c r="C653" s="1"/>
      <c r="D653" s="1"/>
      <c r="E653" s="1"/>
      <c r="F653" s="1"/>
      <c r="G653" s="1"/>
      <c r="H653" s="1"/>
    </row>
    <row r="654" ht="15.75" customHeight="1">
      <c r="A654" s="1"/>
      <c r="B654" s="96"/>
      <c r="C654" s="1"/>
      <c r="D654" s="1"/>
      <c r="E654" s="1"/>
      <c r="F654" s="1"/>
      <c r="G654" s="1"/>
      <c r="H654" s="1"/>
    </row>
    <row r="655" ht="15.75" customHeight="1">
      <c r="A655" s="1"/>
      <c r="B655" s="96"/>
      <c r="C655" s="1"/>
      <c r="D655" s="1"/>
      <c r="E655" s="1"/>
      <c r="F655" s="1"/>
      <c r="G655" s="1"/>
      <c r="H655" s="1"/>
    </row>
    <row r="656" ht="15.75" customHeight="1">
      <c r="A656" s="1"/>
      <c r="B656" s="96"/>
      <c r="C656" s="1"/>
      <c r="D656" s="1"/>
      <c r="E656" s="1"/>
      <c r="F656" s="1"/>
      <c r="G656" s="1"/>
      <c r="H656" s="1"/>
    </row>
    <row r="657" ht="15.75" customHeight="1">
      <c r="A657" s="1"/>
      <c r="B657" s="96"/>
      <c r="C657" s="1"/>
      <c r="D657" s="1"/>
      <c r="E657" s="1"/>
      <c r="F657" s="1"/>
      <c r="G657" s="1"/>
      <c r="H657" s="1"/>
    </row>
    <row r="658" ht="15.75" customHeight="1">
      <c r="A658" s="1"/>
      <c r="B658" s="96"/>
      <c r="C658" s="1"/>
      <c r="D658" s="1"/>
      <c r="E658" s="1"/>
      <c r="F658" s="1"/>
      <c r="G658" s="1"/>
      <c r="H658" s="1"/>
    </row>
    <row r="659" ht="15.75" customHeight="1">
      <c r="A659" s="1"/>
      <c r="B659" s="96"/>
      <c r="C659" s="1"/>
      <c r="D659" s="1"/>
      <c r="E659" s="1"/>
      <c r="F659" s="1"/>
      <c r="G659" s="1"/>
      <c r="H659" s="1"/>
    </row>
    <row r="660" ht="15.75" customHeight="1">
      <c r="A660" s="1"/>
      <c r="B660" s="96"/>
      <c r="C660" s="1"/>
      <c r="D660" s="1"/>
      <c r="E660" s="1"/>
      <c r="F660" s="1"/>
      <c r="G660" s="1"/>
      <c r="H660" s="1"/>
    </row>
    <row r="661" ht="15.75" customHeight="1">
      <c r="A661" s="1"/>
      <c r="B661" s="96"/>
      <c r="C661" s="1"/>
      <c r="D661" s="1"/>
      <c r="E661" s="1"/>
      <c r="F661" s="1"/>
      <c r="G661" s="1"/>
      <c r="H661" s="1"/>
    </row>
    <row r="662" ht="15.75" customHeight="1">
      <c r="A662" s="1"/>
      <c r="B662" s="96"/>
      <c r="C662" s="1"/>
      <c r="D662" s="1"/>
      <c r="E662" s="1"/>
      <c r="F662" s="1"/>
      <c r="G662" s="1"/>
      <c r="H662" s="1"/>
    </row>
    <row r="663" ht="15.75" customHeight="1">
      <c r="A663" s="1"/>
      <c r="B663" s="96"/>
      <c r="C663" s="1"/>
      <c r="D663" s="1"/>
      <c r="E663" s="1"/>
      <c r="F663" s="1"/>
      <c r="G663" s="1"/>
      <c r="H663" s="1"/>
    </row>
    <row r="664" ht="15.75" customHeight="1">
      <c r="A664" s="1"/>
      <c r="B664" s="96"/>
      <c r="C664" s="1"/>
      <c r="D664" s="1"/>
      <c r="E664" s="1"/>
      <c r="F664" s="1"/>
      <c r="G664" s="1"/>
      <c r="H664" s="1"/>
    </row>
    <row r="665" ht="15.75" customHeight="1">
      <c r="A665" s="1"/>
      <c r="B665" s="96"/>
      <c r="C665" s="1"/>
      <c r="D665" s="1"/>
      <c r="E665" s="1"/>
      <c r="F665" s="1"/>
      <c r="G665" s="1"/>
      <c r="H665" s="1"/>
    </row>
    <row r="666" ht="15.75" customHeight="1">
      <c r="A666" s="1"/>
      <c r="B666" s="96"/>
      <c r="C666" s="1"/>
      <c r="D666" s="1"/>
      <c r="E666" s="1"/>
      <c r="F666" s="1"/>
      <c r="G666" s="1"/>
      <c r="H666" s="1"/>
    </row>
    <row r="667" ht="15.75" customHeight="1">
      <c r="A667" s="1"/>
      <c r="B667" s="96"/>
      <c r="C667" s="1"/>
      <c r="D667" s="1"/>
      <c r="E667" s="1"/>
      <c r="F667" s="1"/>
      <c r="G667" s="1"/>
      <c r="H667" s="1"/>
    </row>
    <row r="668" ht="15.75" customHeight="1">
      <c r="A668" s="1"/>
      <c r="B668" s="96"/>
      <c r="C668" s="1"/>
      <c r="D668" s="1"/>
      <c r="E668" s="1"/>
      <c r="F668" s="1"/>
      <c r="G668" s="1"/>
      <c r="H668" s="1"/>
    </row>
    <row r="669" ht="15.75" customHeight="1">
      <c r="A669" s="1"/>
      <c r="B669" s="96"/>
      <c r="C669" s="1"/>
      <c r="D669" s="1"/>
      <c r="E669" s="1"/>
      <c r="F669" s="1"/>
      <c r="G669" s="1"/>
      <c r="H669" s="1"/>
    </row>
    <row r="670" ht="15.75" customHeight="1">
      <c r="A670" s="1"/>
      <c r="B670" s="96"/>
      <c r="C670" s="1"/>
      <c r="D670" s="1"/>
      <c r="E670" s="1"/>
      <c r="F670" s="1"/>
      <c r="G670" s="1"/>
      <c r="H670" s="1"/>
    </row>
    <row r="671" ht="15.75" customHeight="1">
      <c r="A671" s="1"/>
      <c r="B671" s="96"/>
      <c r="C671" s="1"/>
      <c r="D671" s="1"/>
      <c r="E671" s="1"/>
      <c r="F671" s="1"/>
      <c r="G671" s="1"/>
      <c r="H671" s="1"/>
    </row>
    <row r="672" ht="15.75" customHeight="1">
      <c r="A672" s="1"/>
      <c r="B672" s="96"/>
      <c r="C672" s="1"/>
      <c r="D672" s="1"/>
      <c r="E672" s="1"/>
      <c r="F672" s="1"/>
      <c r="G672" s="1"/>
      <c r="H672" s="1"/>
    </row>
    <row r="673" ht="15.75" customHeight="1">
      <c r="A673" s="1"/>
      <c r="B673" s="96"/>
      <c r="C673" s="1"/>
      <c r="D673" s="1"/>
      <c r="E673" s="1"/>
      <c r="F673" s="1"/>
      <c r="G673" s="1"/>
      <c r="H673" s="1"/>
    </row>
    <row r="674" ht="15.75" customHeight="1">
      <c r="A674" s="1"/>
      <c r="B674" s="96"/>
      <c r="C674" s="1"/>
      <c r="D674" s="1"/>
      <c r="E674" s="1"/>
      <c r="F674" s="1"/>
      <c r="G674" s="1"/>
      <c r="H674" s="1"/>
    </row>
    <row r="675" ht="15.75" customHeight="1">
      <c r="A675" s="1"/>
      <c r="B675" s="96"/>
      <c r="C675" s="1"/>
      <c r="D675" s="1"/>
      <c r="E675" s="1"/>
      <c r="F675" s="1"/>
      <c r="G675" s="1"/>
      <c r="H675" s="1"/>
    </row>
    <row r="676" ht="15.75" customHeight="1">
      <c r="A676" s="1"/>
      <c r="B676" s="96"/>
      <c r="C676" s="1"/>
      <c r="D676" s="1"/>
      <c r="E676" s="1"/>
      <c r="F676" s="1"/>
      <c r="G676" s="1"/>
      <c r="H676" s="1"/>
    </row>
    <row r="677" ht="15.75" customHeight="1">
      <c r="A677" s="1"/>
      <c r="B677" s="96"/>
      <c r="C677" s="1"/>
      <c r="D677" s="1"/>
      <c r="E677" s="1"/>
      <c r="F677" s="1"/>
      <c r="G677" s="1"/>
      <c r="H677" s="1"/>
    </row>
    <row r="678" ht="15.75" customHeight="1">
      <c r="A678" s="1"/>
      <c r="B678" s="96"/>
      <c r="C678" s="1"/>
      <c r="D678" s="1"/>
      <c r="E678" s="1"/>
      <c r="F678" s="1"/>
      <c r="G678" s="1"/>
      <c r="H678" s="1"/>
    </row>
    <row r="679" ht="15.75" customHeight="1">
      <c r="A679" s="1"/>
      <c r="B679" s="96"/>
      <c r="C679" s="1"/>
      <c r="D679" s="1"/>
      <c r="E679" s="1"/>
      <c r="F679" s="1"/>
      <c r="G679" s="1"/>
      <c r="H679" s="1"/>
    </row>
    <row r="680" ht="15.75" customHeight="1">
      <c r="A680" s="1"/>
      <c r="B680" s="96"/>
      <c r="C680" s="1"/>
      <c r="D680" s="1"/>
      <c r="E680" s="1"/>
      <c r="F680" s="1"/>
      <c r="G680" s="1"/>
      <c r="H680" s="1"/>
    </row>
    <row r="681" ht="15.75" customHeight="1">
      <c r="A681" s="1"/>
      <c r="B681" s="96"/>
      <c r="C681" s="1"/>
      <c r="D681" s="1"/>
      <c r="E681" s="1"/>
      <c r="F681" s="1"/>
      <c r="G681" s="1"/>
      <c r="H681" s="1"/>
    </row>
    <row r="682" ht="15.75" customHeight="1">
      <c r="A682" s="1"/>
      <c r="B682" s="96"/>
      <c r="C682" s="1"/>
      <c r="D682" s="1"/>
      <c r="E682" s="1"/>
      <c r="F682" s="1"/>
      <c r="G682" s="1"/>
      <c r="H682" s="1"/>
    </row>
    <row r="683" ht="15.75" customHeight="1">
      <c r="A683" s="1"/>
      <c r="B683" s="96"/>
      <c r="C683" s="1"/>
      <c r="D683" s="1"/>
      <c r="E683" s="1"/>
      <c r="F683" s="1"/>
      <c r="G683" s="1"/>
      <c r="H683" s="1"/>
    </row>
    <row r="684" ht="15.75" customHeight="1">
      <c r="A684" s="1"/>
      <c r="B684" s="96"/>
      <c r="C684" s="1"/>
      <c r="D684" s="1"/>
      <c r="E684" s="1"/>
      <c r="F684" s="1"/>
      <c r="G684" s="1"/>
      <c r="H684" s="1"/>
    </row>
    <row r="685" ht="15.75" customHeight="1">
      <c r="A685" s="1"/>
      <c r="B685" s="96"/>
      <c r="C685" s="1"/>
      <c r="D685" s="1"/>
      <c r="E685" s="1"/>
      <c r="F685" s="1"/>
      <c r="G685" s="1"/>
      <c r="H685" s="1"/>
    </row>
    <row r="686" ht="15.75" customHeight="1">
      <c r="A686" s="1"/>
      <c r="B686" s="96"/>
      <c r="C686" s="1"/>
      <c r="D686" s="1"/>
      <c r="E686" s="1"/>
      <c r="F686" s="1"/>
      <c r="G686" s="1"/>
      <c r="H686" s="1"/>
    </row>
    <row r="687" ht="15.75" customHeight="1">
      <c r="A687" s="1"/>
      <c r="B687" s="96"/>
      <c r="C687" s="1"/>
      <c r="D687" s="1"/>
      <c r="E687" s="1"/>
      <c r="F687" s="1"/>
      <c r="G687" s="1"/>
      <c r="H687" s="1"/>
    </row>
    <row r="688" ht="15.75" customHeight="1">
      <c r="A688" s="1"/>
      <c r="B688" s="96"/>
      <c r="C688" s="1"/>
      <c r="D688" s="1"/>
      <c r="E688" s="1"/>
      <c r="F688" s="1"/>
      <c r="G688" s="1"/>
      <c r="H688" s="1"/>
    </row>
    <row r="689" ht="15.75" customHeight="1">
      <c r="A689" s="1"/>
      <c r="B689" s="96"/>
      <c r="C689" s="1"/>
      <c r="D689" s="1"/>
      <c r="E689" s="1"/>
      <c r="F689" s="1"/>
      <c r="G689" s="1"/>
      <c r="H689" s="1"/>
    </row>
    <row r="690" ht="15.75" customHeight="1">
      <c r="A690" s="1"/>
      <c r="B690" s="96"/>
      <c r="C690" s="1"/>
      <c r="D690" s="1"/>
      <c r="E690" s="1"/>
      <c r="F690" s="1"/>
      <c r="G690" s="1"/>
      <c r="H690" s="1"/>
    </row>
    <row r="691" ht="15.75" customHeight="1">
      <c r="A691" s="1"/>
      <c r="B691" s="96"/>
      <c r="C691" s="1"/>
      <c r="D691" s="1"/>
      <c r="E691" s="1"/>
      <c r="F691" s="1"/>
      <c r="G691" s="1"/>
      <c r="H691" s="1"/>
    </row>
    <row r="692" ht="15.75" customHeight="1">
      <c r="A692" s="1"/>
      <c r="B692" s="96"/>
      <c r="C692" s="1"/>
      <c r="D692" s="1"/>
      <c r="E692" s="1"/>
      <c r="F692" s="1"/>
      <c r="G692" s="1"/>
      <c r="H692" s="1"/>
    </row>
    <row r="693" ht="15.75" customHeight="1">
      <c r="A693" s="1"/>
      <c r="B693" s="96"/>
      <c r="C693" s="1"/>
      <c r="D693" s="1"/>
      <c r="E693" s="1"/>
      <c r="F693" s="1"/>
      <c r="G693" s="1"/>
      <c r="H693" s="1"/>
    </row>
    <row r="694" ht="15.75" customHeight="1">
      <c r="A694" s="1"/>
      <c r="B694" s="96"/>
      <c r="C694" s="1"/>
      <c r="D694" s="1"/>
      <c r="E694" s="1"/>
      <c r="F694" s="1"/>
      <c r="G694" s="1"/>
      <c r="H694" s="1"/>
    </row>
    <row r="695" ht="15.75" customHeight="1">
      <c r="A695" s="1"/>
      <c r="B695" s="96"/>
      <c r="C695" s="1"/>
      <c r="D695" s="1"/>
      <c r="E695" s="1"/>
      <c r="F695" s="1"/>
      <c r="G695" s="1"/>
      <c r="H695" s="1"/>
    </row>
    <row r="696" ht="15.75" customHeight="1">
      <c r="A696" s="1"/>
      <c r="B696" s="96"/>
      <c r="C696" s="1"/>
      <c r="D696" s="1"/>
      <c r="E696" s="1"/>
      <c r="F696" s="1"/>
      <c r="G696" s="1"/>
      <c r="H696" s="1"/>
    </row>
    <row r="697" ht="15.75" customHeight="1">
      <c r="A697" s="1"/>
      <c r="B697" s="96"/>
      <c r="C697" s="1"/>
      <c r="D697" s="1"/>
      <c r="E697" s="1"/>
      <c r="F697" s="1"/>
      <c r="G697" s="1"/>
      <c r="H697" s="1"/>
    </row>
    <row r="698" ht="15.75" customHeight="1">
      <c r="A698" s="1"/>
      <c r="B698" s="96"/>
      <c r="C698" s="1"/>
      <c r="D698" s="1"/>
      <c r="E698" s="1"/>
      <c r="F698" s="1"/>
      <c r="G698" s="1"/>
      <c r="H698" s="1"/>
    </row>
    <row r="699" ht="15.75" customHeight="1">
      <c r="A699" s="1"/>
      <c r="B699" s="96"/>
      <c r="C699" s="1"/>
      <c r="D699" s="1"/>
      <c r="E699" s="1"/>
      <c r="F699" s="1"/>
      <c r="G699" s="1"/>
      <c r="H699" s="1"/>
    </row>
    <row r="700" ht="15.75" customHeight="1">
      <c r="A700" s="1"/>
      <c r="B700" s="96"/>
      <c r="C700" s="1"/>
      <c r="D700" s="1"/>
      <c r="E700" s="1"/>
      <c r="F700" s="1"/>
      <c r="G700" s="1"/>
      <c r="H700" s="1"/>
    </row>
    <row r="701" ht="15.75" customHeight="1">
      <c r="A701" s="1"/>
      <c r="B701" s="96"/>
      <c r="C701" s="1"/>
      <c r="D701" s="1"/>
      <c r="E701" s="1"/>
      <c r="F701" s="1"/>
      <c r="G701" s="1"/>
      <c r="H701" s="1"/>
    </row>
    <row r="702" ht="15.75" customHeight="1">
      <c r="A702" s="1"/>
      <c r="B702" s="96"/>
      <c r="C702" s="1"/>
      <c r="D702" s="1"/>
      <c r="E702" s="1"/>
      <c r="F702" s="1"/>
      <c r="G702" s="1"/>
      <c r="H702" s="1"/>
    </row>
    <row r="703" ht="15.75" customHeight="1">
      <c r="A703" s="1"/>
      <c r="B703" s="96"/>
      <c r="C703" s="1"/>
      <c r="D703" s="1"/>
      <c r="E703" s="1"/>
      <c r="F703" s="1"/>
      <c r="G703" s="1"/>
      <c r="H703" s="1"/>
    </row>
    <row r="704" ht="15.75" customHeight="1">
      <c r="A704" s="1"/>
      <c r="B704" s="96"/>
      <c r="C704" s="1"/>
      <c r="D704" s="1"/>
      <c r="E704" s="1"/>
      <c r="F704" s="1"/>
      <c r="G704" s="1"/>
      <c r="H704" s="1"/>
    </row>
    <row r="705" ht="15.75" customHeight="1">
      <c r="A705" s="1"/>
      <c r="B705" s="96"/>
      <c r="C705" s="1"/>
      <c r="D705" s="1"/>
      <c r="E705" s="1"/>
      <c r="F705" s="1"/>
      <c r="G705" s="1"/>
      <c r="H705" s="1"/>
    </row>
    <row r="706" ht="15.75" customHeight="1">
      <c r="A706" s="1"/>
      <c r="B706" s="96"/>
      <c r="C706" s="1"/>
      <c r="D706" s="1"/>
      <c r="E706" s="1"/>
      <c r="F706" s="1"/>
      <c r="G706" s="1"/>
      <c r="H706" s="1"/>
    </row>
    <row r="707" ht="15.75" customHeight="1">
      <c r="A707" s="1"/>
      <c r="B707" s="96"/>
      <c r="C707" s="1"/>
      <c r="D707" s="1"/>
      <c r="E707" s="1"/>
      <c r="F707" s="1"/>
      <c r="G707" s="1"/>
      <c r="H707" s="1"/>
    </row>
    <row r="708" ht="15.75" customHeight="1">
      <c r="A708" s="1"/>
      <c r="B708" s="96"/>
      <c r="C708" s="1"/>
      <c r="D708" s="1"/>
      <c r="E708" s="1"/>
      <c r="F708" s="1"/>
      <c r="G708" s="1"/>
      <c r="H708" s="1"/>
    </row>
    <row r="709" ht="15.75" customHeight="1">
      <c r="A709" s="1"/>
      <c r="B709" s="96"/>
      <c r="C709" s="1"/>
      <c r="D709" s="1"/>
      <c r="E709" s="1"/>
      <c r="F709" s="1"/>
      <c r="G709" s="1"/>
      <c r="H709" s="1"/>
    </row>
    <row r="710" ht="15.75" customHeight="1">
      <c r="A710" s="1"/>
      <c r="B710" s="96"/>
      <c r="C710" s="1"/>
      <c r="D710" s="1"/>
      <c r="E710" s="1"/>
      <c r="F710" s="1"/>
      <c r="G710" s="1"/>
      <c r="H710" s="1"/>
    </row>
    <row r="711" ht="15.75" customHeight="1">
      <c r="A711" s="1"/>
      <c r="B711" s="96"/>
      <c r="C711" s="1"/>
      <c r="D711" s="1"/>
      <c r="E711" s="1"/>
      <c r="F711" s="1"/>
      <c r="G711" s="1"/>
      <c r="H711" s="1"/>
    </row>
    <row r="712" ht="15.75" customHeight="1">
      <c r="A712" s="1"/>
      <c r="B712" s="96"/>
      <c r="C712" s="1"/>
      <c r="D712" s="1"/>
      <c r="E712" s="1"/>
      <c r="F712" s="1"/>
      <c r="G712" s="1"/>
      <c r="H712" s="1"/>
    </row>
    <row r="713" ht="15.75" customHeight="1">
      <c r="A713" s="1"/>
      <c r="B713" s="96"/>
      <c r="C713" s="1"/>
      <c r="D713" s="1"/>
      <c r="E713" s="1"/>
      <c r="F713" s="1"/>
      <c r="G713" s="1"/>
      <c r="H713" s="1"/>
    </row>
    <row r="714" ht="15.75" customHeight="1">
      <c r="A714" s="1"/>
      <c r="B714" s="96"/>
      <c r="C714" s="1"/>
      <c r="D714" s="1"/>
      <c r="E714" s="1"/>
      <c r="F714" s="1"/>
      <c r="G714" s="1"/>
      <c r="H714" s="1"/>
    </row>
    <row r="715" ht="15.75" customHeight="1">
      <c r="A715" s="1"/>
      <c r="B715" s="96"/>
      <c r="C715" s="1"/>
      <c r="D715" s="1"/>
      <c r="E715" s="1"/>
      <c r="F715" s="1"/>
      <c r="G715" s="1"/>
      <c r="H715" s="1"/>
    </row>
    <row r="716" ht="15.75" customHeight="1">
      <c r="A716" s="1"/>
      <c r="B716" s="96"/>
      <c r="C716" s="1"/>
      <c r="D716" s="1"/>
      <c r="E716" s="1"/>
      <c r="F716" s="1"/>
      <c r="G716" s="1"/>
      <c r="H716" s="1"/>
    </row>
    <row r="717" ht="15.75" customHeight="1">
      <c r="A717" s="1"/>
      <c r="B717" s="96"/>
      <c r="C717" s="1"/>
      <c r="D717" s="1"/>
      <c r="E717" s="1"/>
      <c r="F717" s="1"/>
      <c r="G717" s="1"/>
      <c r="H717" s="1"/>
    </row>
    <row r="718" ht="15.75" customHeight="1">
      <c r="A718" s="1"/>
      <c r="B718" s="96"/>
      <c r="C718" s="1"/>
      <c r="D718" s="1"/>
      <c r="E718" s="1"/>
      <c r="F718" s="1"/>
      <c r="G718" s="1"/>
      <c r="H718" s="1"/>
    </row>
    <row r="719" ht="15.75" customHeight="1">
      <c r="A719" s="1"/>
      <c r="B719" s="96"/>
      <c r="C719" s="1"/>
      <c r="D719" s="1"/>
      <c r="E719" s="1"/>
      <c r="F719" s="1"/>
      <c r="G719" s="1"/>
      <c r="H719" s="1"/>
    </row>
    <row r="720" ht="15.75" customHeight="1">
      <c r="A720" s="1"/>
      <c r="B720" s="96"/>
      <c r="C720" s="1"/>
      <c r="D720" s="1"/>
      <c r="E720" s="1"/>
      <c r="F720" s="1"/>
      <c r="G720" s="1"/>
      <c r="H720" s="1"/>
    </row>
    <row r="721" ht="15.75" customHeight="1">
      <c r="A721" s="1"/>
      <c r="B721" s="96"/>
      <c r="C721" s="1"/>
      <c r="D721" s="1"/>
      <c r="E721" s="1"/>
      <c r="F721" s="1"/>
      <c r="G721" s="1"/>
      <c r="H721" s="1"/>
    </row>
    <row r="722" ht="15.75" customHeight="1">
      <c r="A722" s="1"/>
      <c r="B722" s="96"/>
      <c r="C722" s="1"/>
      <c r="D722" s="1"/>
      <c r="E722" s="1"/>
      <c r="F722" s="1"/>
      <c r="G722" s="1"/>
      <c r="H722" s="1"/>
    </row>
    <row r="723" ht="15.75" customHeight="1">
      <c r="A723" s="1"/>
      <c r="B723" s="96"/>
      <c r="C723" s="1"/>
      <c r="D723" s="1"/>
      <c r="E723" s="1"/>
      <c r="F723" s="1"/>
      <c r="G723" s="1"/>
      <c r="H723" s="1"/>
    </row>
    <row r="724" ht="15.75" customHeight="1">
      <c r="A724" s="1"/>
      <c r="B724" s="96"/>
      <c r="C724" s="1"/>
      <c r="D724" s="1"/>
      <c r="E724" s="1"/>
      <c r="F724" s="1"/>
      <c r="G724" s="1"/>
      <c r="H724" s="1"/>
    </row>
    <row r="725" ht="15.75" customHeight="1">
      <c r="A725" s="1"/>
      <c r="B725" s="96"/>
      <c r="C725" s="1"/>
      <c r="D725" s="1"/>
      <c r="E725" s="1"/>
      <c r="F725" s="1"/>
      <c r="G725" s="1"/>
      <c r="H725" s="1"/>
    </row>
    <row r="726" ht="15.75" customHeight="1">
      <c r="A726" s="1"/>
      <c r="B726" s="96"/>
      <c r="C726" s="1"/>
      <c r="D726" s="1"/>
      <c r="E726" s="1"/>
      <c r="F726" s="1"/>
      <c r="G726" s="1"/>
      <c r="H726" s="1"/>
    </row>
    <row r="727" ht="15.75" customHeight="1">
      <c r="A727" s="1"/>
      <c r="B727" s="96"/>
      <c r="C727" s="1"/>
      <c r="D727" s="1"/>
      <c r="E727" s="1"/>
      <c r="F727" s="1"/>
      <c r="G727" s="1"/>
      <c r="H727" s="1"/>
    </row>
    <row r="728" ht="15.75" customHeight="1">
      <c r="A728" s="1"/>
      <c r="B728" s="96"/>
      <c r="C728" s="1"/>
      <c r="D728" s="1"/>
      <c r="E728" s="1"/>
      <c r="F728" s="1"/>
      <c r="G728" s="1"/>
      <c r="H728" s="1"/>
    </row>
    <row r="729" ht="15.75" customHeight="1">
      <c r="A729" s="1"/>
      <c r="B729" s="96"/>
      <c r="C729" s="1"/>
      <c r="D729" s="1"/>
      <c r="E729" s="1"/>
      <c r="F729" s="1"/>
      <c r="G729" s="1"/>
      <c r="H729" s="1"/>
    </row>
    <row r="730" ht="15.75" customHeight="1">
      <c r="A730" s="1"/>
      <c r="B730" s="96"/>
      <c r="C730" s="1"/>
      <c r="D730" s="1"/>
      <c r="E730" s="1"/>
      <c r="F730" s="1"/>
      <c r="G730" s="1"/>
      <c r="H730" s="1"/>
    </row>
    <row r="731" ht="15.75" customHeight="1">
      <c r="A731" s="1"/>
      <c r="B731" s="96"/>
      <c r="C731" s="1"/>
      <c r="D731" s="1"/>
      <c r="E731" s="1"/>
      <c r="F731" s="1"/>
      <c r="G731" s="1"/>
      <c r="H731" s="1"/>
    </row>
    <row r="732" ht="15.75" customHeight="1">
      <c r="A732" s="1"/>
      <c r="B732" s="96"/>
      <c r="C732" s="1"/>
      <c r="D732" s="1"/>
      <c r="E732" s="1"/>
      <c r="F732" s="1"/>
      <c r="G732" s="1"/>
      <c r="H732" s="1"/>
    </row>
    <row r="733" ht="15.75" customHeight="1">
      <c r="A733" s="1"/>
      <c r="B733" s="96"/>
      <c r="C733" s="1"/>
      <c r="D733" s="1"/>
      <c r="E733" s="1"/>
      <c r="F733" s="1"/>
      <c r="G733" s="1"/>
      <c r="H733" s="1"/>
    </row>
    <row r="734" ht="15.75" customHeight="1">
      <c r="A734" s="1"/>
      <c r="B734" s="96"/>
      <c r="C734" s="1"/>
      <c r="D734" s="1"/>
      <c r="E734" s="1"/>
      <c r="F734" s="1"/>
      <c r="G734" s="1"/>
      <c r="H734" s="1"/>
    </row>
    <row r="735" ht="15.75" customHeight="1">
      <c r="A735" s="1"/>
      <c r="B735" s="96"/>
      <c r="C735" s="1"/>
      <c r="D735" s="1"/>
      <c r="E735" s="1"/>
      <c r="F735" s="1"/>
      <c r="G735" s="1"/>
      <c r="H735" s="1"/>
    </row>
    <row r="736" ht="15.75" customHeight="1">
      <c r="A736" s="1"/>
      <c r="B736" s="96"/>
      <c r="C736" s="1"/>
      <c r="D736" s="1"/>
      <c r="E736" s="1"/>
      <c r="F736" s="1"/>
      <c r="G736" s="1"/>
      <c r="H736" s="1"/>
    </row>
    <row r="737" ht="15.75" customHeight="1">
      <c r="A737" s="1"/>
      <c r="B737" s="96"/>
      <c r="C737" s="1"/>
      <c r="D737" s="1"/>
      <c r="E737" s="1"/>
      <c r="F737" s="1"/>
      <c r="G737" s="1"/>
      <c r="H737" s="1"/>
    </row>
    <row r="738" ht="15.75" customHeight="1">
      <c r="A738" s="1"/>
      <c r="B738" s="96"/>
      <c r="C738" s="1"/>
      <c r="D738" s="1"/>
      <c r="E738" s="1"/>
      <c r="F738" s="1"/>
      <c r="G738" s="1"/>
      <c r="H738" s="1"/>
    </row>
    <row r="739" ht="15.75" customHeight="1">
      <c r="A739" s="1"/>
      <c r="B739" s="96"/>
      <c r="C739" s="1"/>
      <c r="D739" s="1"/>
      <c r="E739" s="1"/>
      <c r="F739" s="1"/>
      <c r="G739" s="1"/>
      <c r="H739" s="1"/>
    </row>
    <row r="740" ht="15.75" customHeight="1">
      <c r="A740" s="1"/>
      <c r="B740" s="96"/>
      <c r="C740" s="1"/>
      <c r="D740" s="1"/>
      <c r="E740" s="1"/>
      <c r="F740" s="1"/>
      <c r="G740" s="1"/>
      <c r="H740" s="1"/>
    </row>
    <row r="741" ht="15.75" customHeight="1">
      <c r="A741" s="1"/>
      <c r="B741" s="96"/>
      <c r="C741" s="1"/>
      <c r="D741" s="1"/>
      <c r="E741" s="1"/>
      <c r="F741" s="1"/>
      <c r="G741" s="1"/>
      <c r="H741" s="1"/>
    </row>
    <row r="742" ht="15.75" customHeight="1">
      <c r="A742" s="1"/>
      <c r="B742" s="96"/>
      <c r="C742" s="1"/>
      <c r="D742" s="1"/>
      <c r="E742" s="1"/>
      <c r="F742" s="1"/>
      <c r="G742" s="1"/>
      <c r="H742" s="1"/>
    </row>
    <row r="743" ht="15.75" customHeight="1">
      <c r="A743" s="1"/>
      <c r="B743" s="96"/>
      <c r="C743" s="1"/>
      <c r="D743" s="1"/>
      <c r="E743" s="1"/>
      <c r="F743" s="1"/>
      <c r="G743" s="1"/>
      <c r="H743" s="1"/>
    </row>
    <row r="744" ht="15.75" customHeight="1">
      <c r="A744" s="1"/>
      <c r="B744" s="96"/>
      <c r="C744" s="1"/>
      <c r="D744" s="1"/>
      <c r="E744" s="1"/>
      <c r="F744" s="1"/>
      <c r="G744" s="1"/>
      <c r="H744" s="1"/>
    </row>
    <row r="745" ht="15.75" customHeight="1">
      <c r="A745" s="1"/>
      <c r="B745" s="96"/>
      <c r="C745" s="1"/>
      <c r="D745" s="1"/>
      <c r="E745" s="1"/>
      <c r="F745" s="1"/>
      <c r="G745" s="1"/>
      <c r="H745" s="1"/>
    </row>
    <row r="746" ht="15.75" customHeight="1">
      <c r="A746" s="1"/>
      <c r="B746" s="96"/>
      <c r="C746" s="1"/>
      <c r="D746" s="1"/>
      <c r="E746" s="1"/>
      <c r="F746" s="1"/>
      <c r="G746" s="1"/>
      <c r="H746" s="1"/>
    </row>
    <row r="747" ht="15.75" customHeight="1">
      <c r="A747" s="1"/>
      <c r="B747" s="96"/>
      <c r="C747" s="1"/>
      <c r="D747" s="1"/>
      <c r="E747" s="1"/>
      <c r="F747" s="1"/>
      <c r="G747" s="1"/>
      <c r="H747" s="1"/>
    </row>
    <row r="748" ht="15.75" customHeight="1">
      <c r="A748" s="1"/>
      <c r="B748" s="96"/>
      <c r="C748" s="1"/>
      <c r="D748" s="1"/>
      <c r="E748" s="1"/>
      <c r="F748" s="1"/>
      <c r="G748" s="1"/>
      <c r="H748" s="1"/>
    </row>
    <row r="749" ht="15.75" customHeight="1">
      <c r="A749" s="1"/>
      <c r="B749" s="96"/>
      <c r="C749" s="1"/>
      <c r="D749" s="1"/>
      <c r="E749" s="1"/>
      <c r="F749" s="1"/>
      <c r="G749" s="1"/>
      <c r="H749" s="1"/>
    </row>
    <row r="750" ht="15.75" customHeight="1">
      <c r="A750" s="1"/>
      <c r="B750" s="96"/>
      <c r="C750" s="1"/>
      <c r="D750" s="1"/>
      <c r="E750" s="1"/>
      <c r="F750" s="1"/>
      <c r="G750" s="1"/>
      <c r="H750" s="1"/>
    </row>
    <row r="751" ht="15.75" customHeight="1">
      <c r="A751" s="1"/>
      <c r="B751" s="96"/>
      <c r="C751" s="1"/>
      <c r="D751" s="1"/>
      <c r="E751" s="1"/>
      <c r="F751" s="1"/>
      <c r="G751" s="1"/>
      <c r="H751" s="1"/>
    </row>
    <row r="752" ht="15.75" customHeight="1">
      <c r="A752" s="1"/>
      <c r="B752" s="96"/>
      <c r="C752" s="1"/>
      <c r="D752" s="1"/>
      <c r="E752" s="1"/>
      <c r="F752" s="1"/>
      <c r="G752" s="1"/>
      <c r="H752" s="1"/>
    </row>
    <row r="753" ht="15.75" customHeight="1">
      <c r="A753" s="1"/>
      <c r="B753" s="96"/>
      <c r="C753" s="1"/>
      <c r="D753" s="1"/>
      <c r="E753" s="1"/>
      <c r="F753" s="1"/>
      <c r="G753" s="1"/>
      <c r="H753" s="1"/>
    </row>
    <row r="754" ht="15.75" customHeight="1">
      <c r="A754" s="1"/>
      <c r="B754" s="96"/>
      <c r="C754" s="1"/>
      <c r="D754" s="1"/>
      <c r="E754" s="1"/>
      <c r="F754" s="1"/>
      <c r="G754" s="1"/>
      <c r="H754" s="1"/>
    </row>
    <row r="755" ht="15.75" customHeight="1">
      <c r="A755" s="1"/>
      <c r="B755" s="96"/>
      <c r="C755" s="1"/>
      <c r="D755" s="1"/>
      <c r="E755" s="1"/>
      <c r="F755" s="1"/>
      <c r="G755" s="1"/>
      <c r="H755" s="1"/>
    </row>
    <row r="756" ht="15.75" customHeight="1">
      <c r="A756" s="1"/>
      <c r="B756" s="96"/>
      <c r="C756" s="1"/>
      <c r="D756" s="1"/>
      <c r="E756" s="1"/>
      <c r="F756" s="1"/>
      <c r="G756" s="1"/>
      <c r="H756" s="1"/>
    </row>
    <row r="757" ht="15.75" customHeight="1">
      <c r="A757" s="1"/>
      <c r="B757" s="96"/>
      <c r="C757" s="1"/>
      <c r="D757" s="1"/>
      <c r="E757" s="1"/>
      <c r="F757" s="1"/>
      <c r="G757" s="1"/>
      <c r="H757" s="1"/>
    </row>
    <row r="758" ht="15.75" customHeight="1">
      <c r="A758" s="1"/>
      <c r="B758" s="96"/>
      <c r="C758" s="1"/>
      <c r="D758" s="1"/>
      <c r="E758" s="1"/>
      <c r="F758" s="1"/>
      <c r="G758" s="1"/>
      <c r="H758" s="1"/>
    </row>
    <row r="759" ht="15.75" customHeight="1">
      <c r="A759" s="1"/>
      <c r="B759" s="96"/>
      <c r="C759" s="1"/>
      <c r="D759" s="1"/>
      <c r="E759" s="1"/>
      <c r="F759" s="1"/>
      <c r="G759" s="1"/>
      <c r="H759" s="1"/>
    </row>
    <row r="760" ht="15.75" customHeight="1">
      <c r="A760" s="1"/>
      <c r="B760" s="96"/>
      <c r="C760" s="1"/>
      <c r="D760" s="1"/>
      <c r="E760" s="1"/>
      <c r="F760" s="1"/>
      <c r="G760" s="1"/>
      <c r="H760" s="1"/>
    </row>
    <row r="761" ht="15.75" customHeight="1">
      <c r="A761" s="1"/>
      <c r="B761" s="96"/>
      <c r="C761" s="1"/>
      <c r="D761" s="1"/>
      <c r="E761" s="1"/>
      <c r="F761" s="1"/>
      <c r="G761" s="1"/>
      <c r="H761" s="1"/>
    </row>
    <row r="762" ht="15.75" customHeight="1">
      <c r="A762" s="1"/>
      <c r="B762" s="96"/>
      <c r="C762" s="1"/>
      <c r="D762" s="1"/>
      <c r="E762" s="1"/>
      <c r="F762" s="1"/>
      <c r="G762" s="1"/>
      <c r="H762" s="1"/>
    </row>
    <row r="763" ht="15.75" customHeight="1">
      <c r="A763" s="1"/>
      <c r="B763" s="96"/>
      <c r="C763" s="1"/>
      <c r="D763" s="1"/>
      <c r="E763" s="1"/>
      <c r="F763" s="1"/>
      <c r="G763" s="1"/>
      <c r="H763" s="1"/>
    </row>
    <row r="764" ht="15.75" customHeight="1">
      <c r="A764" s="1"/>
      <c r="B764" s="96"/>
      <c r="C764" s="1"/>
      <c r="D764" s="1"/>
      <c r="E764" s="1"/>
      <c r="F764" s="1"/>
      <c r="G764" s="1"/>
      <c r="H764" s="1"/>
    </row>
    <row r="765" ht="15.75" customHeight="1">
      <c r="A765" s="1"/>
      <c r="B765" s="96"/>
      <c r="C765" s="1"/>
      <c r="D765" s="1"/>
      <c r="E765" s="1"/>
      <c r="F765" s="1"/>
      <c r="G765" s="1"/>
      <c r="H765" s="1"/>
    </row>
    <row r="766" ht="15.75" customHeight="1">
      <c r="A766" s="1"/>
      <c r="B766" s="96"/>
      <c r="C766" s="1"/>
      <c r="D766" s="1"/>
      <c r="E766" s="1"/>
      <c r="F766" s="1"/>
      <c r="G766" s="1"/>
      <c r="H766" s="1"/>
    </row>
    <row r="767" ht="15.75" customHeight="1">
      <c r="A767" s="1"/>
      <c r="B767" s="96"/>
      <c r="C767" s="1"/>
      <c r="D767" s="1"/>
      <c r="E767" s="1"/>
      <c r="F767" s="1"/>
      <c r="G767" s="1"/>
      <c r="H767" s="1"/>
    </row>
    <row r="768" ht="15.75" customHeight="1">
      <c r="A768" s="1"/>
      <c r="B768" s="96"/>
      <c r="C768" s="1"/>
      <c r="D768" s="1"/>
      <c r="E768" s="1"/>
      <c r="F768" s="1"/>
      <c r="G768" s="1"/>
      <c r="H768" s="1"/>
    </row>
    <row r="769" ht="15.75" customHeight="1">
      <c r="A769" s="1"/>
      <c r="B769" s="96"/>
      <c r="C769" s="1"/>
      <c r="D769" s="1"/>
      <c r="E769" s="1"/>
      <c r="F769" s="1"/>
      <c r="G769" s="1"/>
      <c r="H769" s="1"/>
    </row>
    <row r="770" ht="15.75" customHeight="1">
      <c r="A770" s="1"/>
      <c r="B770" s="96"/>
      <c r="C770" s="1"/>
      <c r="D770" s="1"/>
      <c r="E770" s="1"/>
      <c r="F770" s="1"/>
      <c r="G770" s="1"/>
      <c r="H770" s="1"/>
    </row>
    <row r="771" ht="15.75" customHeight="1">
      <c r="A771" s="1"/>
      <c r="B771" s="96"/>
      <c r="C771" s="1"/>
      <c r="D771" s="1"/>
      <c r="E771" s="1"/>
      <c r="F771" s="1"/>
      <c r="G771" s="1"/>
      <c r="H771" s="1"/>
    </row>
    <row r="772" ht="15.75" customHeight="1">
      <c r="A772" s="1"/>
      <c r="B772" s="96"/>
      <c r="C772" s="1"/>
      <c r="D772" s="1"/>
      <c r="E772" s="1"/>
      <c r="F772" s="1"/>
      <c r="G772" s="1"/>
      <c r="H772" s="1"/>
    </row>
    <row r="773" ht="15.75" customHeight="1">
      <c r="A773" s="1"/>
      <c r="B773" s="96"/>
      <c r="C773" s="1"/>
      <c r="D773" s="1"/>
      <c r="E773" s="1"/>
      <c r="F773" s="1"/>
      <c r="G773" s="1"/>
      <c r="H773" s="1"/>
    </row>
    <row r="774" ht="15.75" customHeight="1">
      <c r="A774" s="1"/>
      <c r="B774" s="96"/>
      <c r="C774" s="1"/>
      <c r="D774" s="1"/>
      <c r="E774" s="1"/>
      <c r="F774" s="1"/>
      <c r="G774" s="1"/>
      <c r="H774" s="1"/>
    </row>
    <row r="775" ht="15.75" customHeight="1">
      <c r="A775" s="1"/>
      <c r="B775" s="96"/>
      <c r="C775" s="1"/>
      <c r="D775" s="1"/>
      <c r="E775" s="1"/>
      <c r="F775" s="1"/>
      <c r="G775" s="1"/>
      <c r="H775" s="1"/>
    </row>
    <row r="776" ht="15.75" customHeight="1">
      <c r="A776" s="1"/>
      <c r="B776" s="96"/>
      <c r="C776" s="1"/>
      <c r="D776" s="1"/>
      <c r="E776" s="1"/>
      <c r="F776" s="1"/>
      <c r="G776" s="1"/>
      <c r="H776" s="1"/>
    </row>
    <row r="777" ht="15.75" customHeight="1">
      <c r="A777" s="1"/>
      <c r="B777" s="96"/>
      <c r="C777" s="1"/>
      <c r="D777" s="1"/>
      <c r="E777" s="1"/>
      <c r="F777" s="1"/>
      <c r="G777" s="1"/>
      <c r="H777" s="1"/>
    </row>
    <row r="778" ht="15.75" customHeight="1">
      <c r="A778" s="1"/>
      <c r="B778" s="96"/>
      <c r="C778" s="1"/>
      <c r="D778" s="1"/>
      <c r="E778" s="1"/>
      <c r="F778" s="1"/>
      <c r="G778" s="1"/>
      <c r="H778" s="1"/>
    </row>
    <row r="779" ht="15.75" customHeight="1">
      <c r="A779" s="1"/>
      <c r="B779" s="96"/>
      <c r="C779" s="1"/>
      <c r="D779" s="1"/>
      <c r="E779" s="1"/>
      <c r="F779" s="1"/>
      <c r="G779" s="1"/>
      <c r="H779" s="1"/>
    </row>
    <row r="780" ht="15.75" customHeight="1">
      <c r="A780" s="1"/>
      <c r="B780" s="96"/>
      <c r="C780" s="1"/>
      <c r="D780" s="1"/>
      <c r="E780" s="1"/>
      <c r="F780" s="1"/>
      <c r="G780" s="1"/>
      <c r="H780" s="1"/>
    </row>
    <row r="781" ht="15.75" customHeight="1">
      <c r="A781" s="1"/>
      <c r="B781" s="96"/>
      <c r="C781" s="1"/>
      <c r="D781" s="1"/>
      <c r="E781" s="1"/>
      <c r="F781" s="1"/>
      <c r="G781" s="1"/>
      <c r="H781" s="1"/>
    </row>
    <row r="782" ht="15.75" customHeight="1">
      <c r="A782" s="1"/>
      <c r="B782" s="96"/>
      <c r="C782" s="1"/>
      <c r="D782" s="1"/>
      <c r="E782" s="1"/>
      <c r="F782" s="1"/>
      <c r="G782" s="1"/>
      <c r="H782" s="1"/>
    </row>
    <row r="783" ht="15.75" customHeight="1">
      <c r="A783" s="1"/>
      <c r="B783" s="96"/>
      <c r="C783" s="1"/>
      <c r="D783" s="1"/>
      <c r="E783" s="1"/>
      <c r="F783" s="1"/>
      <c r="G783" s="1"/>
      <c r="H783" s="1"/>
    </row>
    <row r="784" ht="15.75" customHeight="1">
      <c r="A784" s="1"/>
      <c r="B784" s="96"/>
      <c r="C784" s="1"/>
      <c r="D784" s="1"/>
      <c r="E784" s="1"/>
      <c r="F784" s="1"/>
      <c r="G784" s="1"/>
      <c r="H784" s="1"/>
    </row>
    <row r="785" ht="15.75" customHeight="1">
      <c r="A785" s="1"/>
      <c r="B785" s="96"/>
      <c r="C785" s="1"/>
      <c r="D785" s="1"/>
      <c r="E785" s="1"/>
      <c r="F785" s="1"/>
      <c r="G785" s="1"/>
      <c r="H785" s="1"/>
    </row>
    <row r="786" ht="15.75" customHeight="1">
      <c r="A786" s="1"/>
      <c r="B786" s="96"/>
      <c r="C786" s="1"/>
      <c r="D786" s="1"/>
      <c r="E786" s="1"/>
      <c r="F786" s="1"/>
      <c r="G786" s="1"/>
      <c r="H786" s="1"/>
    </row>
    <row r="787" ht="15.75" customHeight="1">
      <c r="A787" s="1"/>
      <c r="B787" s="96"/>
      <c r="C787" s="1"/>
      <c r="D787" s="1"/>
      <c r="E787" s="1"/>
      <c r="F787" s="1"/>
      <c r="G787" s="1"/>
      <c r="H787" s="1"/>
    </row>
    <row r="788" ht="15.75" customHeight="1">
      <c r="A788" s="1"/>
      <c r="B788" s="96"/>
      <c r="C788" s="1"/>
      <c r="D788" s="1"/>
      <c r="E788" s="1"/>
      <c r="F788" s="1"/>
      <c r="G788" s="1"/>
      <c r="H788" s="1"/>
    </row>
    <row r="789" ht="15.75" customHeight="1">
      <c r="A789" s="1"/>
      <c r="B789" s="96"/>
      <c r="C789" s="1"/>
      <c r="D789" s="1"/>
      <c r="E789" s="1"/>
      <c r="F789" s="1"/>
      <c r="G789" s="1"/>
      <c r="H789" s="1"/>
    </row>
    <row r="790" ht="15.75" customHeight="1">
      <c r="A790" s="1"/>
      <c r="B790" s="96"/>
      <c r="C790" s="1"/>
      <c r="D790" s="1"/>
      <c r="E790" s="1"/>
      <c r="F790" s="1"/>
      <c r="G790" s="1"/>
      <c r="H790" s="1"/>
    </row>
    <row r="791" ht="15.75" customHeight="1">
      <c r="A791" s="1"/>
      <c r="B791" s="96"/>
      <c r="C791" s="1"/>
      <c r="D791" s="1"/>
      <c r="E791" s="1"/>
      <c r="F791" s="1"/>
      <c r="G791" s="1"/>
      <c r="H791" s="1"/>
    </row>
    <row r="792" ht="15.75" customHeight="1">
      <c r="A792" s="1"/>
      <c r="B792" s="96"/>
      <c r="C792" s="1"/>
      <c r="D792" s="1"/>
      <c r="E792" s="1"/>
      <c r="F792" s="1"/>
      <c r="G792" s="1"/>
      <c r="H792" s="1"/>
    </row>
    <row r="793" ht="15.75" customHeight="1">
      <c r="A793" s="1"/>
      <c r="B793" s="96"/>
      <c r="C793" s="1"/>
      <c r="D793" s="1"/>
      <c r="E793" s="1"/>
      <c r="F793" s="1"/>
      <c r="G793" s="1"/>
      <c r="H793" s="1"/>
    </row>
    <row r="794" ht="15.75" customHeight="1">
      <c r="A794" s="1"/>
      <c r="B794" s="96"/>
      <c r="C794" s="1"/>
      <c r="D794" s="1"/>
      <c r="E794" s="1"/>
      <c r="F794" s="1"/>
      <c r="G794" s="1"/>
      <c r="H794" s="1"/>
    </row>
    <row r="795" ht="15.75" customHeight="1">
      <c r="A795" s="1"/>
      <c r="B795" s="96"/>
      <c r="C795" s="1"/>
      <c r="D795" s="1"/>
      <c r="E795" s="1"/>
      <c r="F795" s="1"/>
      <c r="G795" s="1"/>
      <c r="H795" s="1"/>
    </row>
    <row r="796" ht="15.75" customHeight="1">
      <c r="A796" s="1"/>
      <c r="B796" s="96"/>
      <c r="C796" s="1"/>
      <c r="D796" s="1"/>
      <c r="E796" s="1"/>
      <c r="F796" s="1"/>
      <c r="G796" s="1"/>
      <c r="H796" s="1"/>
    </row>
    <row r="797" ht="15.75" customHeight="1">
      <c r="A797" s="1"/>
      <c r="B797" s="96"/>
      <c r="C797" s="1"/>
      <c r="D797" s="1"/>
      <c r="E797" s="1"/>
      <c r="F797" s="1"/>
      <c r="G797" s="1"/>
      <c r="H797" s="1"/>
    </row>
    <row r="798" ht="15.75" customHeight="1">
      <c r="A798" s="1"/>
      <c r="B798" s="96"/>
      <c r="C798" s="1"/>
      <c r="D798" s="1"/>
      <c r="E798" s="1"/>
      <c r="F798" s="1"/>
      <c r="G798" s="1"/>
      <c r="H798" s="1"/>
    </row>
    <row r="799" ht="15.75" customHeight="1">
      <c r="A799" s="1"/>
      <c r="B799" s="96"/>
      <c r="C799" s="1"/>
      <c r="D799" s="1"/>
      <c r="E799" s="1"/>
      <c r="F799" s="1"/>
      <c r="G799" s="1"/>
      <c r="H799" s="1"/>
    </row>
    <row r="800" ht="15.75" customHeight="1">
      <c r="A800" s="1"/>
      <c r="B800" s="96"/>
      <c r="C800" s="1"/>
      <c r="D800" s="1"/>
      <c r="E800" s="1"/>
      <c r="F800" s="1"/>
      <c r="G800" s="1"/>
      <c r="H800" s="1"/>
    </row>
    <row r="801" ht="15.75" customHeight="1">
      <c r="A801" s="1"/>
      <c r="B801" s="96"/>
      <c r="C801" s="1"/>
      <c r="D801" s="1"/>
      <c r="E801" s="1"/>
      <c r="F801" s="1"/>
      <c r="G801" s="1"/>
      <c r="H801" s="1"/>
    </row>
    <row r="802" ht="15.75" customHeight="1">
      <c r="A802" s="1"/>
      <c r="B802" s="96"/>
      <c r="C802" s="1"/>
      <c r="D802" s="1"/>
      <c r="E802" s="1"/>
      <c r="F802" s="1"/>
      <c r="G802" s="1"/>
      <c r="H802" s="1"/>
    </row>
    <row r="803" ht="15.75" customHeight="1">
      <c r="A803" s="1"/>
      <c r="B803" s="96"/>
      <c r="C803" s="1"/>
      <c r="D803" s="1"/>
      <c r="E803" s="1"/>
      <c r="F803" s="1"/>
      <c r="G803" s="1"/>
      <c r="H803" s="1"/>
    </row>
    <row r="804" ht="15.75" customHeight="1">
      <c r="A804" s="1"/>
      <c r="B804" s="96"/>
      <c r="C804" s="1"/>
      <c r="D804" s="1"/>
      <c r="E804" s="1"/>
      <c r="F804" s="1"/>
      <c r="G804" s="1"/>
      <c r="H804" s="1"/>
    </row>
    <row r="805" ht="15.75" customHeight="1">
      <c r="A805" s="1"/>
      <c r="B805" s="96"/>
      <c r="C805" s="1"/>
      <c r="D805" s="1"/>
      <c r="E805" s="1"/>
      <c r="F805" s="1"/>
      <c r="G805" s="1"/>
      <c r="H805" s="1"/>
    </row>
    <row r="806" ht="15.75" customHeight="1">
      <c r="A806" s="1"/>
      <c r="B806" s="96"/>
      <c r="C806" s="1"/>
      <c r="D806" s="1"/>
      <c r="E806" s="1"/>
      <c r="F806" s="1"/>
      <c r="G806" s="1"/>
      <c r="H806" s="1"/>
    </row>
    <row r="807" ht="15.75" customHeight="1">
      <c r="A807" s="1"/>
      <c r="B807" s="96"/>
      <c r="C807" s="1"/>
      <c r="D807" s="1"/>
      <c r="E807" s="1"/>
      <c r="F807" s="1"/>
      <c r="G807" s="1"/>
      <c r="H807" s="1"/>
    </row>
    <row r="808" ht="15.75" customHeight="1">
      <c r="A808" s="1"/>
      <c r="B808" s="96"/>
      <c r="C808" s="1"/>
      <c r="D808" s="1"/>
      <c r="E808" s="1"/>
      <c r="F808" s="1"/>
      <c r="G808" s="1"/>
      <c r="H808" s="1"/>
    </row>
    <row r="809" ht="15.75" customHeight="1">
      <c r="A809" s="1"/>
      <c r="B809" s="96"/>
      <c r="C809" s="1"/>
      <c r="D809" s="1"/>
      <c r="E809" s="1"/>
      <c r="F809" s="1"/>
      <c r="G809" s="1"/>
      <c r="H809" s="1"/>
    </row>
    <row r="810" ht="15.75" customHeight="1">
      <c r="A810" s="1"/>
      <c r="B810" s="96"/>
      <c r="C810" s="1"/>
      <c r="D810" s="1"/>
      <c r="E810" s="1"/>
      <c r="F810" s="1"/>
      <c r="G810" s="1"/>
      <c r="H810" s="1"/>
    </row>
    <row r="811" ht="15.75" customHeight="1">
      <c r="A811" s="1"/>
      <c r="B811" s="96"/>
      <c r="C811" s="1"/>
      <c r="D811" s="1"/>
      <c r="E811" s="1"/>
      <c r="F811" s="1"/>
      <c r="G811" s="1"/>
      <c r="H811" s="1"/>
    </row>
    <row r="812" ht="15.75" customHeight="1">
      <c r="A812" s="1"/>
      <c r="B812" s="96"/>
      <c r="C812" s="1"/>
      <c r="D812" s="1"/>
      <c r="E812" s="1"/>
      <c r="F812" s="1"/>
      <c r="G812" s="1"/>
      <c r="H812" s="1"/>
    </row>
    <row r="813" ht="15.75" customHeight="1">
      <c r="A813" s="1"/>
      <c r="B813" s="96"/>
      <c r="C813" s="1"/>
      <c r="D813" s="1"/>
      <c r="E813" s="1"/>
      <c r="F813" s="1"/>
      <c r="G813" s="1"/>
      <c r="H813" s="1"/>
    </row>
    <row r="814" ht="15.75" customHeight="1">
      <c r="A814" s="1"/>
      <c r="B814" s="96"/>
      <c r="C814" s="1"/>
      <c r="D814" s="1"/>
      <c r="E814" s="1"/>
      <c r="F814" s="1"/>
      <c r="G814" s="1"/>
      <c r="H814" s="1"/>
    </row>
    <row r="815" ht="15.75" customHeight="1">
      <c r="A815" s="1"/>
      <c r="B815" s="96"/>
      <c r="C815" s="1"/>
      <c r="D815" s="1"/>
      <c r="E815" s="1"/>
      <c r="F815" s="1"/>
      <c r="G815" s="1"/>
      <c r="H815" s="1"/>
    </row>
    <row r="816" ht="15.75" customHeight="1">
      <c r="A816" s="1"/>
      <c r="B816" s="96"/>
      <c r="C816" s="1"/>
      <c r="D816" s="1"/>
      <c r="E816" s="1"/>
      <c r="F816" s="1"/>
      <c r="G816" s="1"/>
      <c r="H816" s="1"/>
    </row>
    <row r="817" ht="15.75" customHeight="1">
      <c r="A817" s="1"/>
      <c r="B817" s="96"/>
      <c r="C817" s="1"/>
      <c r="D817" s="1"/>
      <c r="E817" s="1"/>
      <c r="F817" s="1"/>
      <c r="G817" s="1"/>
      <c r="H817" s="1"/>
    </row>
    <row r="818" ht="15.75" customHeight="1">
      <c r="A818" s="1"/>
      <c r="B818" s="96"/>
      <c r="C818" s="1"/>
      <c r="D818" s="1"/>
      <c r="E818" s="1"/>
      <c r="F818" s="1"/>
      <c r="G818" s="1"/>
      <c r="H818" s="1"/>
    </row>
    <row r="819" ht="15.75" customHeight="1">
      <c r="A819" s="1"/>
      <c r="B819" s="96"/>
      <c r="C819" s="1"/>
      <c r="D819" s="1"/>
      <c r="E819" s="1"/>
      <c r="F819" s="1"/>
      <c r="G819" s="1"/>
      <c r="H819" s="1"/>
    </row>
    <row r="820" ht="15.75" customHeight="1">
      <c r="A820" s="1"/>
      <c r="B820" s="96"/>
      <c r="C820" s="1"/>
      <c r="D820" s="1"/>
      <c r="E820" s="1"/>
      <c r="F820" s="1"/>
      <c r="G820" s="1"/>
      <c r="H820" s="1"/>
    </row>
    <row r="821" ht="15.75" customHeight="1">
      <c r="A821" s="1"/>
      <c r="B821" s="96"/>
      <c r="C821" s="1"/>
      <c r="D821" s="1"/>
      <c r="E821" s="1"/>
      <c r="F821" s="1"/>
      <c r="G821" s="1"/>
      <c r="H821" s="1"/>
    </row>
    <row r="822" ht="15.75" customHeight="1">
      <c r="A822" s="1"/>
      <c r="B822" s="96"/>
      <c r="C822" s="1"/>
      <c r="D822" s="1"/>
      <c r="E822" s="1"/>
      <c r="F822" s="1"/>
      <c r="G822" s="1"/>
      <c r="H822" s="1"/>
    </row>
    <row r="823" ht="15.75" customHeight="1">
      <c r="A823" s="1"/>
      <c r="B823" s="96"/>
      <c r="C823" s="1"/>
      <c r="D823" s="1"/>
      <c r="E823" s="1"/>
      <c r="F823" s="1"/>
      <c r="G823" s="1"/>
      <c r="H823" s="1"/>
    </row>
    <row r="824" ht="15.75" customHeight="1">
      <c r="A824" s="1"/>
      <c r="B824" s="96"/>
      <c r="C824" s="1"/>
      <c r="D824" s="1"/>
      <c r="E824" s="1"/>
      <c r="F824" s="1"/>
      <c r="G824" s="1"/>
      <c r="H824" s="1"/>
    </row>
    <row r="825" ht="15.75" customHeight="1">
      <c r="A825" s="1"/>
      <c r="B825" s="96"/>
      <c r="C825" s="1"/>
      <c r="D825" s="1"/>
      <c r="E825" s="1"/>
      <c r="F825" s="1"/>
      <c r="G825" s="1"/>
      <c r="H825" s="1"/>
    </row>
    <row r="826" ht="15.75" customHeight="1">
      <c r="A826" s="1"/>
      <c r="B826" s="96"/>
      <c r="C826" s="1"/>
      <c r="D826" s="1"/>
      <c r="E826" s="1"/>
      <c r="F826" s="1"/>
      <c r="G826" s="1"/>
      <c r="H826" s="1"/>
    </row>
    <row r="827" ht="15.75" customHeight="1">
      <c r="A827" s="1"/>
      <c r="B827" s="96"/>
      <c r="C827" s="1"/>
      <c r="D827" s="1"/>
      <c r="E827" s="1"/>
      <c r="F827" s="1"/>
      <c r="G827" s="1"/>
      <c r="H827" s="1"/>
    </row>
    <row r="828" ht="15.75" customHeight="1">
      <c r="A828" s="1"/>
      <c r="B828" s="96"/>
      <c r="C828" s="1"/>
      <c r="D828" s="1"/>
      <c r="E828" s="1"/>
      <c r="F828" s="1"/>
      <c r="G828" s="1"/>
      <c r="H828" s="1"/>
    </row>
    <row r="829" ht="15.75" customHeight="1">
      <c r="A829" s="1"/>
      <c r="B829" s="96"/>
      <c r="C829" s="1"/>
      <c r="D829" s="1"/>
      <c r="E829" s="1"/>
      <c r="F829" s="1"/>
      <c r="G829" s="1"/>
      <c r="H829" s="1"/>
    </row>
    <row r="830" ht="15.75" customHeight="1">
      <c r="A830" s="1"/>
      <c r="B830" s="96"/>
      <c r="C830" s="1"/>
      <c r="D830" s="1"/>
      <c r="E830" s="1"/>
      <c r="F830" s="1"/>
      <c r="G830" s="1"/>
      <c r="H830" s="1"/>
    </row>
    <row r="831" ht="15.75" customHeight="1">
      <c r="A831" s="1"/>
      <c r="B831" s="96"/>
      <c r="C831" s="1"/>
      <c r="D831" s="1"/>
      <c r="E831" s="1"/>
      <c r="F831" s="1"/>
      <c r="G831" s="1"/>
      <c r="H831" s="1"/>
    </row>
    <row r="832" ht="15.75" customHeight="1">
      <c r="A832" s="1"/>
      <c r="B832" s="96"/>
      <c r="C832" s="1"/>
      <c r="D832" s="1"/>
      <c r="E832" s="1"/>
      <c r="F832" s="1"/>
      <c r="G832" s="1"/>
      <c r="H832" s="1"/>
    </row>
    <row r="833" ht="15.75" customHeight="1">
      <c r="A833" s="1"/>
      <c r="B833" s="96"/>
      <c r="C833" s="1"/>
      <c r="D833" s="1"/>
      <c r="E833" s="1"/>
      <c r="F833" s="1"/>
      <c r="G833" s="1"/>
      <c r="H833" s="1"/>
    </row>
    <row r="834" ht="15.75" customHeight="1">
      <c r="A834" s="1"/>
      <c r="B834" s="96"/>
      <c r="C834" s="1"/>
      <c r="D834" s="1"/>
      <c r="E834" s="1"/>
      <c r="F834" s="1"/>
      <c r="G834" s="1"/>
      <c r="H834" s="1"/>
    </row>
    <row r="835" ht="15.75" customHeight="1">
      <c r="A835" s="1"/>
      <c r="B835" s="96"/>
      <c r="C835" s="1"/>
      <c r="D835" s="1"/>
      <c r="E835" s="1"/>
      <c r="F835" s="1"/>
      <c r="G835" s="1"/>
      <c r="H835" s="1"/>
    </row>
    <row r="836" ht="15.75" customHeight="1">
      <c r="A836" s="1"/>
      <c r="B836" s="96"/>
      <c r="C836" s="1"/>
      <c r="D836" s="1"/>
      <c r="E836" s="1"/>
      <c r="F836" s="1"/>
      <c r="G836" s="1"/>
      <c r="H836" s="1"/>
    </row>
    <row r="837" ht="15.75" customHeight="1">
      <c r="A837" s="1"/>
      <c r="B837" s="96"/>
      <c r="C837" s="1"/>
      <c r="D837" s="1"/>
      <c r="E837" s="1"/>
      <c r="F837" s="1"/>
      <c r="G837" s="1"/>
      <c r="H837" s="1"/>
    </row>
    <row r="838" ht="15.75" customHeight="1">
      <c r="A838" s="1"/>
      <c r="B838" s="96"/>
      <c r="C838" s="1"/>
      <c r="D838" s="1"/>
      <c r="E838" s="1"/>
      <c r="F838" s="1"/>
      <c r="G838" s="1"/>
      <c r="H838" s="1"/>
    </row>
    <row r="839" ht="15.75" customHeight="1">
      <c r="A839" s="1"/>
      <c r="B839" s="96"/>
      <c r="C839" s="1"/>
      <c r="D839" s="1"/>
      <c r="E839" s="1"/>
      <c r="F839" s="1"/>
      <c r="G839" s="1"/>
      <c r="H839" s="1"/>
    </row>
    <row r="840" ht="15.75" customHeight="1">
      <c r="A840" s="1"/>
      <c r="B840" s="96"/>
      <c r="C840" s="1"/>
      <c r="D840" s="1"/>
      <c r="E840" s="1"/>
      <c r="F840" s="1"/>
      <c r="G840" s="1"/>
      <c r="H840" s="1"/>
    </row>
    <row r="841" ht="15.75" customHeight="1">
      <c r="A841" s="1"/>
      <c r="B841" s="96"/>
      <c r="C841" s="1"/>
      <c r="D841" s="1"/>
      <c r="E841" s="1"/>
      <c r="F841" s="1"/>
      <c r="G841" s="1"/>
      <c r="H841" s="1"/>
    </row>
    <row r="842" ht="15.75" customHeight="1">
      <c r="A842" s="1"/>
      <c r="B842" s="96"/>
      <c r="C842" s="1"/>
      <c r="D842" s="1"/>
      <c r="E842" s="1"/>
      <c r="F842" s="1"/>
      <c r="G842" s="1"/>
      <c r="H842" s="1"/>
    </row>
    <row r="843" ht="15.75" customHeight="1">
      <c r="A843" s="1"/>
      <c r="B843" s="96"/>
      <c r="C843" s="1"/>
      <c r="D843" s="1"/>
      <c r="E843" s="1"/>
      <c r="F843" s="1"/>
      <c r="G843" s="1"/>
      <c r="H843" s="1"/>
    </row>
    <row r="844" ht="15.75" customHeight="1">
      <c r="A844" s="1"/>
      <c r="B844" s="96"/>
      <c r="C844" s="1"/>
      <c r="D844" s="1"/>
      <c r="E844" s="1"/>
      <c r="F844" s="1"/>
      <c r="G844" s="1"/>
      <c r="H844" s="1"/>
    </row>
    <row r="845" ht="15.75" customHeight="1">
      <c r="A845" s="1"/>
      <c r="B845" s="96"/>
      <c r="C845" s="1"/>
      <c r="D845" s="1"/>
      <c r="E845" s="1"/>
      <c r="F845" s="1"/>
      <c r="G845" s="1"/>
      <c r="H845" s="1"/>
    </row>
    <row r="846" ht="15.75" customHeight="1">
      <c r="A846" s="1"/>
      <c r="B846" s="96"/>
      <c r="C846" s="1"/>
      <c r="D846" s="1"/>
      <c r="E846" s="1"/>
      <c r="F846" s="1"/>
      <c r="G846" s="1"/>
      <c r="H846" s="1"/>
    </row>
    <row r="847" ht="15.75" customHeight="1">
      <c r="A847" s="1"/>
      <c r="B847" s="96"/>
      <c r="C847" s="1"/>
      <c r="D847" s="1"/>
      <c r="E847" s="1"/>
      <c r="F847" s="1"/>
      <c r="G847" s="1"/>
      <c r="H847" s="1"/>
    </row>
    <row r="848" ht="15.75" customHeight="1">
      <c r="A848" s="1"/>
      <c r="B848" s="96"/>
      <c r="C848" s="1"/>
      <c r="D848" s="1"/>
      <c r="E848" s="1"/>
      <c r="F848" s="1"/>
      <c r="G848" s="1"/>
      <c r="H848" s="1"/>
    </row>
    <row r="849" ht="15.75" customHeight="1">
      <c r="A849" s="1"/>
      <c r="B849" s="96"/>
      <c r="C849" s="1"/>
      <c r="D849" s="1"/>
      <c r="E849" s="1"/>
      <c r="F849" s="1"/>
      <c r="G849" s="1"/>
      <c r="H849" s="1"/>
    </row>
    <row r="850" ht="15.75" customHeight="1">
      <c r="A850" s="1"/>
      <c r="B850" s="96"/>
      <c r="C850" s="1"/>
      <c r="D850" s="1"/>
      <c r="E850" s="1"/>
      <c r="F850" s="1"/>
      <c r="G850" s="1"/>
      <c r="H850" s="1"/>
    </row>
    <row r="851" ht="15.75" customHeight="1">
      <c r="A851" s="1"/>
      <c r="B851" s="96"/>
      <c r="C851" s="1"/>
      <c r="D851" s="1"/>
      <c r="E851" s="1"/>
      <c r="F851" s="1"/>
      <c r="G851" s="1"/>
      <c r="H851" s="1"/>
    </row>
    <row r="852" ht="15.75" customHeight="1">
      <c r="A852" s="1"/>
      <c r="B852" s="96"/>
      <c r="C852" s="1"/>
      <c r="D852" s="1"/>
      <c r="E852" s="1"/>
      <c r="F852" s="1"/>
      <c r="G852" s="1"/>
      <c r="H852" s="1"/>
    </row>
    <row r="853" ht="15.75" customHeight="1">
      <c r="A853" s="1"/>
      <c r="B853" s="96"/>
      <c r="C853" s="1"/>
      <c r="D853" s="1"/>
      <c r="E853" s="1"/>
      <c r="F853" s="1"/>
      <c r="G853" s="1"/>
      <c r="H853" s="1"/>
    </row>
    <row r="854" ht="15.75" customHeight="1">
      <c r="A854" s="1"/>
      <c r="B854" s="96"/>
      <c r="C854" s="1"/>
      <c r="D854" s="1"/>
      <c r="E854" s="1"/>
      <c r="F854" s="1"/>
      <c r="G854" s="1"/>
      <c r="H854" s="1"/>
    </row>
    <row r="855" ht="15.75" customHeight="1">
      <c r="A855" s="1"/>
      <c r="B855" s="96"/>
      <c r="C855" s="1"/>
      <c r="D855" s="1"/>
      <c r="E855" s="1"/>
      <c r="F855" s="1"/>
      <c r="G855" s="1"/>
      <c r="H855" s="1"/>
    </row>
    <row r="856" ht="15.75" customHeight="1">
      <c r="A856" s="1"/>
      <c r="B856" s="96"/>
      <c r="C856" s="1"/>
      <c r="D856" s="1"/>
      <c r="E856" s="1"/>
      <c r="F856" s="1"/>
      <c r="G856" s="1"/>
      <c r="H856" s="1"/>
    </row>
    <row r="857" ht="15.75" customHeight="1">
      <c r="A857" s="1"/>
      <c r="B857" s="96"/>
      <c r="C857" s="1"/>
      <c r="D857" s="1"/>
      <c r="E857" s="1"/>
      <c r="F857" s="1"/>
      <c r="G857" s="1"/>
      <c r="H857" s="1"/>
    </row>
    <row r="858" ht="15.75" customHeight="1">
      <c r="A858" s="1"/>
      <c r="B858" s="96"/>
      <c r="C858" s="1"/>
      <c r="D858" s="1"/>
      <c r="E858" s="1"/>
      <c r="F858" s="1"/>
      <c r="G858" s="1"/>
      <c r="H858" s="1"/>
    </row>
    <row r="859" ht="15.75" customHeight="1">
      <c r="A859" s="1"/>
      <c r="B859" s="96"/>
      <c r="C859" s="1"/>
      <c r="D859" s="1"/>
      <c r="E859" s="1"/>
      <c r="F859" s="1"/>
      <c r="G859" s="1"/>
      <c r="H859" s="1"/>
    </row>
    <row r="860" ht="15.75" customHeight="1">
      <c r="A860" s="1"/>
      <c r="B860" s="96"/>
      <c r="C860" s="1"/>
      <c r="D860" s="1"/>
      <c r="E860" s="1"/>
      <c r="F860" s="1"/>
      <c r="G860" s="1"/>
      <c r="H860" s="1"/>
    </row>
    <row r="861" ht="15.75" customHeight="1">
      <c r="A861" s="1"/>
      <c r="B861" s="96"/>
      <c r="C861" s="1"/>
      <c r="D861" s="1"/>
      <c r="E861" s="1"/>
      <c r="F861" s="1"/>
      <c r="G861" s="1"/>
      <c r="H861" s="1"/>
    </row>
    <row r="862" ht="15.75" customHeight="1">
      <c r="A862" s="1"/>
      <c r="B862" s="96"/>
      <c r="C862" s="1"/>
      <c r="D862" s="1"/>
      <c r="E862" s="1"/>
      <c r="F862" s="1"/>
      <c r="G862" s="1"/>
      <c r="H862" s="1"/>
    </row>
    <row r="863" ht="15.75" customHeight="1">
      <c r="A863" s="1"/>
      <c r="B863" s="96"/>
      <c r="C863" s="1"/>
      <c r="D863" s="1"/>
      <c r="E863" s="1"/>
      <c r="F863" s="1"/>
      <c r="G863" s="1"/>
      <c r="H863" s="1"/>
    </row>
    <row r="864" ht="15.75" customHeight="1">
      <c r="A864" s="1"/>
      <c r="B864" s="96"/>
      <c r="C864" s="1"/>
      <c r="D864" s="1"/>
      <c r="E864" s="1"/>
      <c r="F864" s="1"/>
      <c r="G864" s="1"/>
      <c r="H864" s="1"/>
    </row>
    <row r="865" ht="15.75" customHeight="1">
      <c r="A865" s="1"/>
      <c r="B865" s="96"/>
      <c r="C865" s="1"/>
      <c r="D865" s="1"/>
      <c r="E865" s="1"/>
      <c r="F865" s="1"/>
      <c r="G865" s="1"/>
      <c r="H865" s="1"/>
    </row>
    <row r="866" ht="15.75" customHeight="1">
      <c r="A866" s="1"/>
      <c r="B866" s="96"/>
      <c r="C866" s="1"/>
      <c r="D866" s="1"/>
      <c r="E866" s="1"/>
      <c r="F866" s="1"/>
      <c r="G866" s="1"/>
      <c r="H866" s="1"/>
    </row>
    <row r="867" ht="15.75" customHeight="1">
      <c r="A867" s="1"/>
      <c r="B867" s="96"/>
      <c r="C867" s="1"/>
      <c r="D867" s="1"/>
      <c r="E867" s="1"/>
      <c r="F867" s="1"/>
      <c r="G867" s="1"/>
      <c r="H867" s="1"/>
    </row>
    <row r="868" ht="15.75" customHeight="1">
      <c r="A868" s="1"/>
      <c r="B868" s="96"/>
      <c r="C868" s="1"/>
      <c r="D868" s="1"/>
      <c r="E868" s="1"/>
      <c r="F868" s="1"/>
      <c r="G868" s="1"/>
      <c r="H868" s="1"/>
    </row>
    <row r="869" ht="15.75" customHeight="1">
      <c r="A869" s="1"/>
      <c r="B869" s="96"/>
      <c r="C869" s="1"/>
      <c r="D869" s="1"/>
      <c r="E869" s="1"/>
      <c r="F869" s="1"/>
      <c r="G869" s="1"/>
      <c r="H869" s="1"/>
    </row>
    <row r="870" ht="15.75" customHeight="1">
      <c r="A870" s="1"/>
      <c r="B870" s="96"/>
      <c r="C870" s="1"/>
      <c r="D870" s="1"/>
      <c r="E870" s="1"/>
      <c r="F870" s="1"/>
      <c r="G870" s="1"/>
      <c r="H870" s="1"/>
    </row>
    <row r="871" ht="15.75" customHeight="1">
      <c r="A871" s="1"/>
      <c r="B871" s="96"/>
      <c r="C871" s="1"/>
      <c r="D871" s="1"/>
      <c r="E871" s="1"/>
      <c r="F871" s="1"/>
      <c r="G871" s="1"/>
      <c r="H871" s="1"/>
    </row>
    <row r="872" ht="15.75" customHeight="1">
      <c r="A872" s="1"/>
      <c r="B872" s="96"/>
      <c r="C872" s="1"/>
      <c r="D872" s="1"/>
      <c r="E872" s="1"/>
      <c r="F872" s="1"/>
      <c r="G872" s="1"/>
      <c r="H872" s="1"/>
    </row>
    <row r="873" ht="15.75" customHeight="1">
      <c r="A873" s="1"/>
      <c r="B873" s="96"/>
      <c r="C873" s="1"/>
      <c r="D873" s="1"/>
      <c r="E873" s="1"/>
      <c r="F873" s="1"/>
      <c r="G873" s="1"/>
      <c r="H873" s="1"/>
    </row>
    <row r="874" ht="15.75" customHeight="1">
      <c r="A874" s="1"/>
      <c r="B874" s="96"/>
      <c r="C874" s="1"/>
      <c r="D874" s="1"/>
      <c r="E874" s="1"/>
      <c r="F874" s="1"/>
      <c r="G874" s="1"/>
      <c r="H874" s="1"/>
    </row>
    <row r="875" ht="15.75" customHeight="1">
      <c r="A875" s="1"/>
      <c r="B875" s="96"/>
      <c r="C875" s="1"/>
      <c r="D875" s="1"/>
      <c r="E875" s="1"/>
      <c r="F875" s="1"/>
      <c r="G875" s="1"/>
      <c r="H875" s="1"/>
    </row>
    <row r="876" ht="15.75" customHeight="1">
      <c r="A876" s="1"/>
      <c r="B876" s="96"/>
      <c r="C876" s="1"/>
      <c r="D876" s="1"/>
      <c r="E876" s="1"/>
      <c r="F876" s="1"/>
      <c r="G876" s="1"/>
      <c r="H876" s="1"/>
    </row>
    <row r="877" ht="15.75" customHeight="1">
      <c r="A877" s="1"/>
      <c r="B877" s="96"/>
      <c r="C877" s="1"/>
      <c r="D877" s="1"/>
      <c r="E877" s="1"/>
      <c r="F877" s="1"/>
      <c r="G877" s="1"/>
      <c r="H877" s="1"/>
    </row>
    <row r="878" ht="15.75" customHeight="1">
      <c r="A878" s="1"/>
      <c r="B878" s="96"/>
      <c r="C878" s="1"/>
      <c r="D878" s="1"/>
      <c r="E878" s="1"/>
      <c r="F878" s="1"/>
      <c r="G878" s="1"/>
      <c r="H878" s="1"/>
    </row>
    <row r="879" ht="15.75" customHeight="1">
      <c r="A879" s="1"/>
      <c r="B879" s="96"/>
      <c r="C879" s="1"/>
      <c r="D879" s="1"/>
      <c r="E879" s="1"/>
      <c r="F879" s="1"/>
      <c r="G879" s="1"/>
      <c r="H879" s="1"/>
    </row>
    <row r="880" ht="15.75" customHeight="1">
      <c r="A880" s="1"/>
      <c r="B880" s="96"/>
      <c r="C880" s="1"/>
      <c r="D880" s="1"/>
      <c r="E880" s="1"/>
      <c r="F880" s="1"/>
      <c r="G880" s="1"/>
      <c r="H880" s="1"/>
    </row>
    <row r="881" ht="15.75" customHeight="1">
      <c r="A881" s="1"/>
      <c r="B881" s="96"/>
      <c r="C881" s="1"/>
      <c r="D881" s="1"/>
      <c r="E881" s="1"/>
      <c r="F881" s="1"/>
      <c r="G881" s="1"/>
      <c r="H881" s="1"/>
    </row>
    <row r="882" ht="15.75" customHeight="1">
      <c r="A882" s="1"/>
      <c r="B882" s="96"/>
      <c r="C882" s="1"/>
      <c r="D882" s="1"/>
      <c r="E882" s="1"/>
      <c r="F882" s="1"/>
      <c r="G882" s="1"/>
      <c r="H882" s="1"/>
    </row>
    <row r="883" ht="15.75" customHeight="1">
      <c r="A883" s="1"/>
      <c r="B883" s="96"/>
      <c r="C883" s="1"/>
      <c r="D883" s="1"/>
      <c r="E883" s="1"/>
      <c r="F883" s="1"/>
      <c r="G883" s="1"/>
      <c r="H883" s="1"/>
    </row>
    <row r="884" ht="15.75" customHeight="1">
      <c r="A884" s="1"/>
      <c r="B884" s="96"/>
      <c r="C884" s="1"/>
      <c r="D884" s="1"/>
      <c r="E884" s="1"/>
      <c r="F884" s="1"/>
      <c r="G884" s="1"/>
      <c r="H884" s="1"/>
    </row>
    <row r="885" ht="15.75" customHeight="1">
      <c r="A885" s="1"/>
      <c r="B885" s="96"/>
      <c r="C885" s="1"/>
      <c r="D885" s="1"/>
      <c r="E885" s="1"/>
      <c r="F885" s="1"/>
      <c r="G885" s="1"/>
      <c r="H885" s="1"/>
    </row>
    <row r="886" ht="15.75" customHeight="1">
      <c r="A886" s="1"/>
      <c r="B886" s="96"/>
      <c r="C886" s="1"/>
      <c r="D886" s="1"/>
      <c r="E886" s="1"/>
      <c r="F886" s="1"/>
      <c r="G886" s="1"/>
      <c r="H886" s="1"/>
    </row>
    <row r="887" ht="15.75" customHeight="1">
      <c r="A887" s="1"/>
      <c r="B887" s="96"/>
      <c r="C887" s="1"/>
      <c r="D887" s="1"/>
      <c r="E887" s="1"/>
      <c r="F887" s="1"/>
      <c r="G887" s="1"/>
      <c r="H887" s="1"/>
    </row>
    <row r="888" ht="15.75" customHeight="1">
      <c r="A888" s="1"/>
      <c r="B888" s="96"/>
      <c r="C888" s="1"/>
      <c r="D888" s="1"/>
      <c r="E888" s="1"/>
      <c r="F888" s="1"/>
      <c r="G888" s="1"/>
      <c r="H888" s="1"/>
    </row>
    <row r="889" ht="15.75" customHeight="1">
      <c r="A889" s="1"/>
      <c r="B889" s="96"/>
      <c r="C889" s="1"/>
      <c r="D889" s="1"/>
      <c r="E889" s="1"/>
      <c r="F889" s="1"/>
      <c r="G889" s="1"/>
      <c r="H889" s="1"/>
    </row>
    <row r="890" ht="15.75" customHeight="1">
      <c r="A890" s="1"/>
      <c r="B890" s="96"/>
      <c r="C890" s="1"/>
      <c r="D890" s="1"/>
      <c r="E890" s="1"/>
      <c r="F890" s="1"/>
      <c r="G890" s="1"/>
      <c r="H890" s="1"/>
    </row>
    <row r="891" ht="15.75" customHeight="1">
      <c r="A891" s="1"/>
      <c r="B891" s="96"/>
      <c r="C891" s="1"/>
      <c r="D891" s="1"/>
      <c r="E891" s="1"/>
      <c r="F891" s="1"/>
      <c r="G891" s="1"/>
      <c r="H891" s="1"/>
    </row>
    <row r="892" ht="15.75" customHeight="1">
      <c r="A892" s="1"/>
      <c r="B892" s="96"/>
      <c r="C892" s="1"/>
      <c r="D892" s="1"/>
      <c r="E892" s="1"/>
      <c r="F892" s="1"/>
      <c r="G892" s="1"/>
      <c r="H892" s="1"/>
    </row>
    <row r="893" ht="15.75" customHeight="1">
      <c r="A893" s="1"/>
      <c r="B893" s="96"/>
      <c r="C893" s="1"/>
      <c r="D893" s="1"/>
      <c r="E893" s="1"/>
      <c r="F893" s="1"/>
      <c r="G893" s="1"/>
      <c r="H893" s="1"/>
    </row>
    <row r="894" ht="15.75" customHeight="1">
      <c r="A894" s="1"/>
      <c r="B894" s="96"/>
      <c r="C894" s="1"/>
      <c r="D894" s="1"/>
      <c r="E894" s="1"/>
      <c r="F894" s="1"/>
      <c r="G894" s="1"/>
      <c r="H894" s="1"/>
    </row>
    <row r="895" ht="15.75" customHeight="1">
      <c r="A895" s="1"/>
      <c r="B895" s="96"/>
      <c r="C895" s="1"/>
      <c r="D895" s="1"/>
      <c r="E895" s="1"/>
      <c r="F895" s="1"/>
      <c r="G895" s="1"/>
      <c r="H895" s="1"/>
    </row>
    <row r="896" ht="15.75" customHeight="1">
      <c r="A896" s="1"/>
      <c r="B896" s="96"/>
      <c r="C896" s="1"/>
      <c r="D896" s="1"/>
      <c r="E896" s="1"/>
      <c r="F896" s="1"/>
      <c r="G896" s="1"/>
      <c r="H896" s="1"/>
    </row>
    <row r="897" ht="15.75" customHeight="1">
      <c r="A897" s="1"/>
      <c r="B897" s="96"/>
      <c r="C897" s="1"/>
      <c r="D897" s="1"/>
      <c r="E897" s="1"/>
      <c r="F897" s="1"/>
      <c r="G897" s="1"/>
      <c r="H897" s="1"/>
    </row>
    <row r="898" ht="15.75" customHeight="1">
      <c r="A898" s="1"/>
      <c r="B898" s="96"/>
      <c r="C898" s="1"/>
      <c r="D898" s="1"/>
      <c r="E898" s="1"/>
      <c r="F898" s="1"/>
      <c r="G898" s="1"/>
      <c r="H898" s="1"/>
    </row>
    <row r="899" ht="15.75" customHeight="1">
      <c r="A899" s="1"/>
      <c r="B899" s="96"/>
      <c r="C899" s="1"/>
      <c r="D899" s="1"/>
      <c r="E899" s="1"/>
      <c r="F899" s="1"/>
      <c r="G899" s="1"/>
      <c r="H899" s="1"/>
    </row>
    <row r="900" ht="15.75" customHeight="1">
      <c r="A900" s="1"/>
      <c r="B900" s="96"/>
      <c r="C900" s="1"/>
      <c r="D900" s="1"/>
      <c r="E900" s="1"/>
      <c r="F900" s="1"/>
      <c r="G900" s="1"/>
      <c r="H900" s="1"/>
    </row>
    <row r="901" ht="15.75" customHeight="1">
      <c r="A901" s="1"/>
      <c r="B901" s="96"/>
      <c r="C901" s="1"/>
      <c r="D901" s="1"/>
      <c r="E901" s="1"/>
      <c r="F901" s="1"/>
      <c r="G901" s="1"/>
      <c r="H901" s="1"/>
    </row>
    <row r="902" ht="15.75" customHeight="1">
      <c r="A902" s="1"/>
      <c r="B902" s="96"/>
      <c r="C902" s="1"/>
      <c r="D902" s="1"/>
      <c r="E902" s="1"/>
      <c r="F902" s="1"/>
      <c r="G902" s="1"/>
      <c r="H902" s="1"/>
    </row>
    <row r="903" ht="15.75" customHeight="1">
      <c r="A903" s="1"/>
      <c r="B903" s="96"/>
      <c r="C903" s="1"/>
      <c r="D903" s="1"/>
      <c r="E903" s="1"/>
      <c r="F903" s="1"/>
      <c r="G903" s="1"/>
      <c r="H903" s="1"/>
    </row>
    <row r="904" ht="15.75" customHeight="1">
      <c r="A904" s="1"/>
      <c r="B904" s="96"/>
      <c r="C904" s="1"/>
      <c r="D904" s="1"/>
      <c r="E904" s="1"/>
      <c r="F904" s="1"/>
      <c r="G904" s="1"/>
      <c r="H904" s="1"/>
    </row>
    <row r="905" ht="15.75" customHeight="1">
      <c r="A905" s="1"/>
      <c r="B905" s="96"/>
      <c r="C905" s="1"/>
      <c r="D905" s="1"/>
      <c r="E905" s="1"/>
      <c r="F905" s="1"/>
      <c r="G905" s="1"/>
      <c r="H905" s="1"/>
    </row>
    <row r="906" ht="15.75" customHeight="1">
      <c r="A906" s="1"/>
      <c r="B906" s="96"/>
      <c r="C906" s="1"/>
      <c r="D906" s="1"/>
      <c r="E906" s="1"/>
      <c r="F906" s="1"/>
      <c r="G906" s="1"/>
      <c r="H906" s="1"/>
    </row>
    <row r="907" ht="15.75" customHeight="1">
      <c r="A907" s="1"/>
      <c r="B907" s="96"/>
      <c r="C907" s="1"/>
      <c r="D907" s="1"/>
      <c r="E907" s="1"/>
      <c r="F907" s="1"/>
      <c r="G907" s="1"/>
      <c r="H907" s="1"/>
    </row>
    <row r="908" ht="15.75" customHeight="1">
      <c r="A908" s="1"/>
      <c r="B908" s="96"/>
      <c r="C908" s="1"/>
      <c r="D908" s="1"/>
      <c r="E908" s="1"/>
      <c r="F908" s="1"/>
      <c r="G908" s="1"/>
      <c r="H908" s="1"/>
    </row>
    <row r="909" ht="15.75" customHeight="1">
      <c r="A909" s="1"/>
      <c r="B909" s="96"/>
      <c r="C909" s="1"/>
      <c r="D909" s="1"/>
      <c r="E909" s="1"/>
      <c r="F909" s="1"/>
      <c r="G909" s="1"/>
      <c r="H909" s="1"/>
    </row>
    <row r="910" ht="15.75" customHeight="1">
      <c r="A910" s="1"/>
      <c r="B910" s="96"/>
      <c r="C910" s="1"/>
      <c r="D910" s="1"/>
      <c r="E910" s="1"/>
      <c r="F910" s="1"/>
      <c r="G910" s="1"/>
      <c r="H910" s="1"/>
    </row>
    <row r="911" ht="15.75" customHeight="1">
      <c r="A911" s="1"/>
      <c r="B911" s="96"/>
      <c r="C911" s="1"/>
      <c r="D911" s="1"/>
      <c r="E911" s="1"/>
      <c r="F911" s="1"/>
      <c r="G911" s="1"/>
      <c r="H911" s="1"/>
    </row>
    <row r="912" ht="15.75" customHeight="1">
      <c r="A912" s="1"/>
      <c r="B912" s="96"/>
      <c r="C912" s="1"/>
      <c r="D912" s="1"/>
      <c r="E912" s="1"/>
      <c r="F912" s="1"/>
      <c r="G912" s="1"/>
      <c r="H912" s="1"/>
    </row>
    <row r="913" ht="15.75" customHeight="1">
      <c r="A913" s="1"/>
      <c r="B913" s="96"/>
      <c r="C913" s="1"/>
      <c r="D913" s="1"/>
      <c r="E913" s="1"/>
      <c r="F913" s="1"/>
      <c r="G913" s="1"/>
      <c r="H913" s="1"/>
    </row>
    <row r="914" ht="15.75" customHeight="1">
      <c r="A914" s="1"/>
      <c r="B914" s="96"/>
      <c r="C914" s="1"/>
      <c r="D914" s="1"/>
      <c r="E914" s="1"/>
      <c r="F914" s="1"/>
      <c r="G914" s="1"/>
      <c r="H914" s="1"/>
    </row>
    <row r="915" ht="15.75" customHeight="1">
      <c r="A915" s="1"/>
      <c r="B915" s="96"/>
      <c r="C915" s="1"/>
      <c r="D915" s="1"/>
      <c r="E915" s="1"/>
      <c r="F915" s="1"/>
      <c r="G915" s="1"/>
      <c r="H915" s="1"/>
    </row>
    <row r="916" ht="15.75" customHeight="1">
      <c r="A916" s="1"/>
      <c r="B916" s="96"/>
      <c r="C916" s="1"/>
      <c r="D916" s="1"/>
      <c r="E916" s="1"/>
      <c r="F916" s="1"/>
      <c r="G916" s="1"/>
      <c r="H916" s="1"/>
    </row>
    <row r="917" ht="15.75" customHeight="1">
      <c r="A917" s="1"/>
      <c r="B917" s="96"/>
      <c r="C917" s="1"/>
      <c r="D917" s="1"/>
      <c r="E917" s="1"/>
      <c r="F917" s="1"/>
      <c r="G917" s="1"/>
      <c r="H917" s="1"/>
    </row>
    <row r="918" ht="15.75" customHeight="1">
      <c r="A918" s="1"/>
      <c r="B918" s="96"/>
      <c r="C918" s="1"/>
      <c r="D918" s="1"/>
      <c r="E918" s="1"/>
      <c r="F918" s="1"/>
      <c r="G918" s="1"/>
      <c r="H918" s="1"/>
    </row>
    <row r="919" ht="15.75" customHeight="1">
      <c r="A919" s="1"/>
      <c r="B919" s="96"/>
      <c r="C919" s="1"/>
      <c r="D919" s="1"/>
      <c r="E919" s="1"/>
      <c r="F919" s="1"/>
      <c r="G919" s="1"/>
      <c r="H919" s="1"/>
    </row>
    <row r="920" ht="15.75" customHeight="1">
      <c r="A920" s="1"/>
      <c r="B920" s="96"/>
      <c r="C920" s="1"/>
      <c r="D920" s="1"/>
      <c r="E920" s="1"/>
      <c r="F920" s="1"/>
      <c r="G920" s="1"/>
      <c r="H920" s="1"/>
    </row>
    <row r="921" ht="15.75" customHeight="1">
      <c r="A921" s="1"/>
      <c r="B921" s="96"/>
      <c r="C921" s="1"/>
      <c r="D921" s="1"/>
      <c r="E921" s="1"/>
      <c r="F921" s="1"/>
      <c r="G921" s="1"/>
      <c r="H921" s="1"/>
    </row>
    <row r="922" ht="15.75" customHeight="1">
      <c r="A922" s="1"/>
      <c r="B922" s="96"/>
      <c r="C922" s="1"/>
      <c r="D922" s="1"/>
      <c r="E922" s="1"/>
      <c r="F922" s="1"/>
      <c r="G922" s="1"/>
      <c r="H922" s="1"/>
    </row>
    <row r="923" ht="15.75" customHeight="1">
      <c r="A923" s="1"/>
      <c r="B923" s="96"/>
      <c r="C923" s="1"/>
      <c r="D923" s="1"/>
      <c r="E923" s="1"/>
      <c r="F923" s="1"/>
      <c r="G923" s="1"/>
      <c r="H923" s="1"/>
    </row>
    <row r="924" ht="15.75" customHeight="1">
      <c r="A924" s="1"/>
      <c r="B924" s="96"/>
      <c r="C924" s="1"/>
      <c r="D924" s="1"/>
      <c r="E924" s="1"/>
      <c r="F924" s="1"/>
      <c r="G924" s="1"/>
      <c r="H924" s="1"/>
    </row>
    <row r="925" ht="15.75" customHeight="1">
      <c r="A925" s="1"/>
      <c r="B925" s="96"/>
      <c r="C925" s="1"/>
      <c r="D925" s="1"/>
      <c r="E925" s="1"/>
      <c r="F925" s="1"/>
      <c r="G925" s="1"/>
      <c r="H925" s="1"/>
    </row>
    <row r="926" ht="15.75" customHeight="1">
      <c r="A926" s="1"/>
      <c r="B926" s="96"/>
      <c r="C926" s="1"/>
      <c r="D926" s="1"/>
      <c r="E926" s="1"/>
      <c r="F926" s="1"/>
      <c r="G926" s="1"/>
      <c r="H926" s="1"/>
    </row>
    <row r="927" ht="15.75" customHeight="1">
      <c r="A927" s="1"/>
      <c r="B927" s="96"/>
      <c r="C927" s="1"/>
      <c r="D927" s="1"/>
      <c r="E927" s="1"/>
      <c r="F927" s="1"/>
      <c r="G927" s="1"/>
      <c r="H927" s="1"/>
    </row>
    <row r="928" ht="15.75" customHeight="1">
      <c r="A928" s="1"/>
      <c r="B928" s="96"/>
      <c r="C928" s="1"/>
      <c r="D928" s="1"/>
      <c r="E928" s="1"/>
      <c r="F928" s="1"/>
      <c r="G928" s="1"/>
      <c r="H928" s="1"/>
    </row>
    <row r="929" ht="15.75" customHeight="1">
      <c r="A929" s="1"/>
      <c r="B929" s="96"/>
      <c r="C929" s="1"/>
      <c r="D929" s="1"/>
      <c r="E929" s="1"/>
      <c r="F929" s="1"/>
      <c r="G929" s="1"/>
      <c r="H929" s="1"/>
    </row>
    <row r="930" ht="15.75" customHeight="1">
      <c r="A930" s="1"/>
      <c r="B930" s="96"/>
      <c r="C930" s="1"/>
      <c r="D930" s="1"/>
      <c r="E930" s="1"/>
      <c r="F930" s="1"/>
      <c r="G930" s="1"/>
      <c r="H930" s="1"/>
    </row>
    <row r="931" ht="15.75" customHeight="1">
      <c r="A931" s="1"/>
      <c r="B931" s="96"/>
      <c r="C931" s="1"/>
      <c r="D931" s="1"/>
      <c r="E931" s="1"/>
      <c r="F931" s="1"/>
      <c r="G931" s="1"/>
      <c r="H931" s="1"/>
    </row>
    <row r="932" ht="15.75" customHeight="1">
      <c r="A932" s="1"/>
      <c r="B932" s="96"/>
      <c r="C932" s="1"/>
      <c r="D932" s="1"/>
      <c r="E932" s="1"/>
      <c r="F932" s="1"/>
      <c r="G932" s="1"/>
      <c r="H932" s="1"/>
    </row>
    <row r="933" ht="15.75" customHeight="1">
      <c r="A933" s="1"/>
      <c r="B933" s="96"/>
      <c r="C933" s="1"/>
      <c r="D933" s="1"/>
      <c r="E933" s="1"/>
      <c r="F933" s="1"/>
      <c r="G933" s="1"/>
      <c r="H933" s="1"/>
    </row>
    <row r="934" ht="15.75" customHeight="1">
      <c r="A934" s="1"/>
      <c r="B934" s="96"/>
      <c r="C934" s="1"/>
      <c r="D934" s="1"/>
      <c r="E934" s="1"/>
      <c r="F934" s="1"/>
      <c r="G934" s="1"/>
      <c r="H934" s="1"/>
    </row>
    <row r="935" ht="15.75" customHeight="1">
      <c r="A935" s="1"/>
      <c r="B935" s="96"/>
      <c r="C935" s="1"/>
      <c r="D935" s="1"/>
      <c r="E935" s="1"/>
      <c r="F935" s="1"/>
      <c r="G935" s="1"/>
      <c r="H935" s="1"/>
    </row>
    <row r="936" ht="15.75" customHeight="1">
      <c r="A936" s="1"/>
      <c r="B936" s="96"/>
      <c r="C936" s="1"/>
      <c r="D936" s="1"/>
      <c r="E936" s="1"/>
      <c r="F936" s="1"/>
      <c r="G936" s="1"/>
      <c r="H936" s="1"/>
    </row>
    <row r="937" ht="15.75" customHeight="1">
      <c r="A937" s="1"/>
      <c r="B937" s="96"/>
      <c r="C937" s="1"/>
      <c r="D937" s="1"/>
      <c r="E937" s="1"/>
      <c r="F937" s="1"/>
      <c r="G937" s="1"/>
      <c r="H937" s="1"/>
    </row>
    <row r="938" ht="15.75" customHeight="1">
      <c r="A938" s="1"/>
      <c r="B938" s="96"/>
      <c r="C938" s="1"/>
      <c r="D938" s="1"/>
      <c r="E938" s="1"/>
      <c r="F938" s="1"/>
      <c r="G938" s="1"/>
      <c r="H938" s="1"/>
    </row>
    <row r="939" ht="15.75" customHeight="1">
      <c r="A939" s="1"/>
      <c r="B939" s="96"/>
      <c r="C939" s="1"/>
      <c r="D939" s="1"/>
      <c r="E939" s="1"/>
      <c r="F939" s="1"/>
      <c r="G939" s="1"/>
      <c r="H939" s="1"/>
    </row>
    <row r="940" ht="15.75" customHeight="1">
      <c r="A940" s="1"/>
      <c r="B940" s="96"/>
      <c r="C940" s="1"/>
      <c r="D940" s="1"/>
      <c r="E940" s="1"/>
      <c r="F940" s="1"/>
      <c r="G940" s="1"/>
      <c r="H940" s="1"/>
    </row>
    <row r="941" ht="15.75" customHeight="1">
      <c r="A941" s="1"/>
      <c r="B941" s="96"/>
      <c r="C941" s="1"/>
      <c r="D941" s="1"/>
      <c r="E941" s="1"/>
      <c r="F941" s="1"/>
      <c r="G941" s="1"/>
      <c r="H941" s="1"/>
    </row>
    <row r="942" ht="15.75" customHeight="1">
      <c r="A942" s="1"/>
      <c r="B942" s="96"/>
      <c r="C942" s="1"/>
      <c r="D942" s="1"/>
      <c r="E942" s="1"/>
      <c r="F942" s="1"/>
      <c r="G942" s="1"/>
      <c r="H942" s="1"/>
    </row>
    <row r="943" ht="15.75" customHeight="1">
      <c r="A943" s="1"/>
      <c r="B943" s="96"/>
      <c r="C943" s="1"/>
      <c r="D943" s="1"/>
      <c r="E943" s="1"/>
      <c r="F943" s="1"/>
      <c r="G943" s="1"/>
      <c r="H943" s="1"/>
    </row>
    <row r="944" ht="15.75" customHeight="1">
      <c r="A944" s="1"/>
      <c r="B944" s="96"/>
      <c r="C944" s="1"/>
      <c r="D944" s="1"/>
      <c r="E944" s="1"/>
      <c r="F944" s="1"/>
      <c r="G944" s="1"/>
      <c r="H944" s="1"/>
    </row>
    <row r="945" ht="15.75" customHeight="1">
      <c r="A945" s="1"/>
      <c r="B945" s="96"/>
      <c r="C945" s="1"/>
      <c r="D945" s="1"/>
      <c r="E945" s="1"/>
      <c r="F945" s="1"/>
      <c r="G945" s="1"/>
      <c r="H945" s="1"/>
    </row>
    <row r="946" ht="15.75" customHeight="1">
      <c r="A946" s="1"/>
      <c r="B946" s="96"/>
      <c r="C946" s="1"/>
      <c r="D946" s="1"/>
      <c r="E946" s="1"/>
      <c r="F946" s="1"/>
      <c r="G946" s="1"/>
      <c r="H946" s="1"/>
    </row>
    <row r="947" ht="15.75" customHeight="1">
      <c r="A947" s="1"/>
      <c r="B947" s="96"/>
      <c r="C947" s="1"/>
      <c r="D947" s="1"/>
      <c r="E947" s="1"/>
      <c r="F947" s="1"/>
      <c r="G947" s="1"/>
      <c r="H947" s="1"/>
    </row>
    <row r="948" ht="15.75" customHeight="1">
      <c r="A948" s="1"/>
      <c r="B948" s="96"/>
      <c r="C948" s="1"/>
      <c r="D948" s="1"/>
      <c r="E948" s="1"/>
      <c r="F948" s="1"/>
      <c r="G948" s="1"/>
      <c r="H948" s="1"/>
    </row>
    <row r="949" ht="15.75" customHeight="1">
      <c r="A949" s="1"/>
      <c r="B949" s="96"/>
      <c r="C949" s="1"/>
      <c r="D949" s="1"/>
      <c r="E949" s="1"/>
      <c r="F949" s="1"/>
      <c r="G949" s="1"/>
      <c r="H949" s="1"/>
    </row>
    <row r="950" ht="15.75" customHeight="1">
      <c r="A950" s="1"/>
      <c r="B950" s="96"/>
      <c r="C950" s="1"/>
      <c r="D950" s="1"/>
      <c r="E950" s="1"/>
      <c r="F950" s="1"/>
      <c r="G950" s="1"/>
      <c r="H950" s="1"/>
    </row>
    <row r="951" ht="15.75" customHeight="1">
      <c r="A951" s="1"/>
      <c r="B951" s="96"/>
      <c r="C951" s="1"/>
      <c r="D951" s="1"/>
      <c r="E951" s="1"/>
      <c r="F951" s="1"/>
      <c r="G951" s="1"/>
      <c r="H951" s="1"/>
    </row>
    <row r="952" ht="15.75" customHeight="1">
      <c r="A952" s="1"/>
      <c r="B952" s="96"/>
      <c r="C952" s="1"/>
      <c r="D952" s="1"/>
      <c r="E952" s="1"/>
      <c r="F952" s="1"/>
      <c r="G952" s="1"/>
      <c r="H952" s="1"/>
    </row>
    <row r="953" ht="15.75" customHeight="1">
      <c r="A953" s="1"/>
      <c r="B953" s="96"/>
      <c r="C953" s="1"/>
      <c r="D953" s="1"/>
      <c r="E953" s="1"/>
      <c r="F953" s="1"/>
      <c r="G953" s="1"/>
      <c r="H953" s="1"/>
    </row>
    <row r="954" ht="15.75" customHeight="1">
      <c r="A954" s="1"/>
      <c r="B954" s="96"/>
      <c r="C954" s="1"/>
      <c r="D954" s="1"/>
      <c r="E954" s="1"/>
      <c r="F954" s="1"/>
      <c r="G954" s="1"/>
      <c r="H954" s="1"/>
    </row>
    <row r="955" ht="15.75" customHeight="1">
      <c r="A955" s="1"/>
      <c r="B955" s="96"/>
      <c r="C955" s="1"/>
      <c r="D955" s="1"/>
      <c r="E955" s="1"/>
      <c r="F955" s="1"/>
      <c r="G955" s="1"/>
      <c r="H955" s="1"/>
    </row>
    <row r="956" ht="15.75" customHeight="1">
      <c r="A956" s="1"/>
      <c r="B956" s="96"/>
      <c r="C956" s="1"/>
      <c r="D956" s="1"/>
      <c r="E956" s="1"/>
      <c r="F956" s="1"/>
      <c r="G956" s="1"/>
      <c r="H956" s="1"/>
    </row>
    <row r="957" ht="15.75" customHeight="1">
      <c r="A957" s="1"/>
      <c r="B957" s="96"/>
      <c r="C957" s="1"/>
      <c r="D957" s="1"/>
      <c r="E957" s="1"/>
      <c r="F957" s="1"/>
      <c r="G957" s="1"/>
      <c r="H957" s="1"/>
    </row>
    <row r="958" ht="15.75" customHeight="1">
      <c r="A958" s="1"/>
      <c r="B958" s="96"/>
      <c r="C958" s="1"/>
      <c r="D958" s="1"/>
      <c r="E958" s="1"/>
      <c r="F958" s="1"/>
      <c r="G958" s="1"/>
      <c r="H958" s="1"/>
    </row>
    <row r="959" ht="15.75" customHeight="1">
      <c r="A959" s="1"/>
      <c r="B959" s="96"/>
      <c r="C959" s="1"/>
      <c r="D959" s="1"/>
      <c r="E959" s="1"/>
      <c r="F959" s="1"/>
      <c r="G959" s="1"/>
      <c r="H959" s="1"/>
    </row>
    <row r="960" ht="15.75" customHeight="1">
      <c r="A960" s="1"/>
      <c r="B960" s="96"/>
      <c r="C960" s="1"/>
      <c r="D960" s="1"/>
      <c r="E960" s="1"/>
      <c r="F960" s="1"/>
      <c r="G960" s="1"/>
      <c r="H960" s="1"/>
    </row>
    <row r="961" ht="15.75" customHeight="1">
      <c r="A961" s="1"/>
      <c r="B961" s="96"/>
      <c r="C961" s="1"/>
      <c r="D961" s="1"/>
      <c r="E961" s="1"/>
      <c r="F961" s="1"/>
      <c r="G961" s="1"/>
      <c r="H961" s="1"/>
    </row>
    <row r="962" ht="15.75" customHeight="1">
      <c r="A962" s="1"/>
      <c r="B962" s="96"/>
      <c r="C962" s="1"/>
      <c r="D962" s="1"/>
      <c r="E962" s="1"/>
      <c r="F962" s="1"/>
      <c r="G962" s="1"/>
      <c r="H962" s="1"/>
    </row>
    <row r="963" ht="15.75" customHeight="1">
      <c r="A963" s="1"/>
      <c r="B963" s="96"/>
      <c r="C963" s="1"/>
      <c r="D963" s="1"/>
      <c r="E963" s="1"/>
      <c r="F963" s="1"/>
      <c r="G963" s="1"/>
      <c r="H963" s="1"/>
    </row>
    <row r="964" ht="15.75" customHeight="1">
      <c r="A964" s="1"/>
      <c r="B964" s="96"/>
      <c r="C964" s="1"/>
      <c r="D964" s="1"/>
      <c r="E964" s="1"/>
      <c r="F964" s="1"/>
      <c r="G964" s="1"/>
      <c r="H964" s="1"/>
    </row>
    <row r="965" ht="15.75" customHeight="1">
      <c r="A965" s="1"/>
      <c r="B965" s="96"/>
      <c r="C965" s="1"/>
      <c r="D965" s="1"/>
      <c r="E965" s="1"/>
      <c r="F965" s="1"/>
      <c r="G965" s="1"/>
      <c r="H965" s="1"/>
    </row>
    <row r="966" ht="15.75" customHeight="1">
      <c r="A966" s="1"/>
      <c r="B966" s="96"/>
      <c r="C966" s="1"/>
      <c r="D966" s="1"/>
      <c r="E966" s="1"/>
      <c r="F966" s="1"/>
      <c r="G966" s="1"/>
      <c r="H966" s="1"/>
    </row>
    <row r="967" ht="15.75" customHeight="1">
      <c r="A967" s="1"/>
      <c r="B967" s="96"/>
      <c r="C967" s="1"/>
      <c r="D967" s="1"/>
      <c r="E967" s="1"/>
      <c r="F967" s="1"/>
      <c r="G967" s="1"/>
      <c r="H967" s="1"/>
    </row>
    <row r="968" ht="15.75" customHeight="1">
      <c r="A968" s="1"/>
      <c r="B968" s="96"/>
      <c r="C968" s="1"/>
      <c r="D968" s="1"/>
      <c r="E968" s="1"/>
      <c r="F968" s="1"/>
      <c r="G968" s="1"/>
      <c r="H968" s="1"/>
    </row>
    <row r="969" ht="15.75" customHeight="1">
      <c r="A969" s="1"/>
      <c r="B969" s="96"/>
      <c r="C969" s="1"/>
      <c r="D969" s="1"/>
      <c r="E969" s="1"/>
      <c r="F969" s="1"/>
      <c r="G969" s="1"/>
      <c r="H969" s="1"/>
    </row>
    <row r="970" ht="15.75" customHeight="1">
      <c r="A970" s="1"/>
      <c r="B970" s="96"/>
      <c r="C970" s="1"/>
      <c r="D970" s="1"/>
      <c r="E970" s="1"/>
      <c r="F970" s="1"/>
      <c r="G970" s="1"/>
      <c r="H970" s="1"/>
    </row>
    <row r="971" ht="15.75" customHeight="1">
      <c r="A971" s="1"/>
      <c r="B971" s="96"/>
      <c r="C971" s="1"/>
      <c r="D971" s="1"/>
      <c r="E971" s="1"/>
      <c r="F971" s="1"/>
      <c r="G971" s="1"/>
      <c r="H971" s="1"/>
    </row>
    <row r="972" ht="15.75" customHeight="1">
      <c r="A972" s="1"/>
      <c r="B972" s="96"/>
      <c r="C972" s="1"/>
      <c r="D972" s="1"/>
      <c r="E972" s="1"/>
      <c r="F972" s="1"/>
      <c r="G972" s="1"/>
      <c r="H972" s="1"/>
    </row>
    <row r="973" ht="15.75" customHeight="1">
      <c r="A973" s="1"/>
      <c r="B973" s="96"/>
      <c r="C973" s="1"/>
      <c r="D973" s="1"/>
      <c r="E973" s="1"/>
      <c r="F973" s="1"/>
      <c r="G973" s="1"/>
      <c r="H973" s="1"/>
    </row>
    <row r="974" ht="15.75" customHeight="1">
      <c r="A974" s="1"/>
      <c r="B974" s="96"/>
      <c r="C974" s="1"/>
      <c r="D974" s="1"/>
      <c r="E974" s="1"/>
      <c r="F974" s="1"/>
      <c r="G974" s="1"/>
      <c r="H974" s="1"/>
    </row>
    <row r="975" ht="15.75" customHeight="1">
      <c r="A975" s="1"/>
      <c r="B975" s="96"/>
      <c r="C975" s="1"/>
      <c r="D975" s="1"/>
      <c r="E975" s="1"/>
      <c r="F975" s="1"/>
      <c r="G975" s="1"/>
      <c r="H975" s="1"/>
    </row>
    <row r="976" ht="15.75" customHeight="1">
      <c r="A976" s="1"/>
      <c r="B976" s="96"/>
      <c r="C976" s="1"/>
      <c r="D976" s="1"/>
      <c r="E976" s="1"/>
      <c r="F976" s="1"/>
      <c r="G976" s="1"/>
      <c r="H976" s="1"/>
    </row>
    <row r="977" ht="15.75" customHeight="1">
      <c r="A977" s="1"/>
      <c r="B977" s="96"/>
      <c r="C977" s="1"/>
      <c r="D977" s="1"/>
      <c r="E977" s="1"/>
      <c r="F977" s="1"/>
      <c r="G977" s="1"/>
      <c r="H977" s="1"/>
    </row>
    <row r="978" ht="15.75" customHeight="1">
      <c r="A978" s="1"/>
      <c r="B978" s="96"/>
      <c r="C978" s="1"/>
      <c r="D978" s="1"/>
      <c r="E978" s="1"/>
      <c r="F978" s="1"/>
      <c r="G978" s="1"/>
      <c r="H978" s="1"/>
    </row>
    <row r="979" ht="15.75" customHeight="1">
      <c r="A979" s="1"/>
      <c r="B979" s="96"/>
      <c r="C979" s="1"/>
      <c r="D979" s="1"/>
      <c r="E979" s="1"/>
      <c r="F979" s="1"/>
      <c r="G979" s="1"/>
      <c r="H979" s="1"/>
    </row>
    <row r="980" ht="15.75" customHeight="1">
      <c r="A980" s="1"/>
      <c r="B980" s="96"/>
      <c r="C980" s="1"/>
      <c r="D980" s="1"/>
      <c r="E980" s="1"/>
      <c r="F980" s="1"/>
      <c r="G980" s="1"/>
      <c r="H980" s="1"/>
    </row>
    <row r="981" ht="15.75" customHeight="1">
      <c r="A981" s="1"/>
      <c r="B981" s="96"/>
      <c r="C981" s="1"/>
      <c r="D981" s="1"/>
      <c r="E981" s="1"/>
      <c r="F981" s="1"/>
      <c r="G981" s="1"/>
      <c r="H981" s="1"/>
    </row>
    <row r="982" ht="15.75" customHeight="1">
      <c r="A982" s="1"/>
      <c r="B982" s="96"/>
      <c r="C982" s="1"/>
      <c r="D982" s="1"/>
      <c r="E982" s="1"/>
      <c r="F982" s="1"/>
      <c r="G982" s="1"/>
      <c r="H982" s="1"/>
    </row>
    <row r="983" ht="15.75" customHeight="1">
      <c r="A983" s="1"/>
      <c r="B983" s="96"/>
      <c r="C983" s="1"/>
      <c r="D983" s="1"/>
      <c r="E983" s="1"/>
      <c r="F983" s="1"/>
      <c r="G983" s="1"/>
      <c r="H983" s="1"/>
    </row>
    <row r="984" ht="15.75" customHeight="1">
      <c r="A984" s="1"/>
      <c r="B984" s="96"/>
      <c r="C984" s="1"/>
      <c r="D984" s="1"/>
      <c r="E984" s="1"/>
      <c r="F984" s="1"/>
      <c r="G984" s="1"/>
      <c r="H984" s="1"/>
    </row>
    <row r="985" ht="15.75" customHeight="1">
      <c r="A985" s="1"/>
      <c r="B985" s="96"/>
      <c r="C985" s="1"/>
      <c r="D985" s="1"/>
      <c r="E985" s="1"/>
      <c r="F985" s="1"/>
      <c r="G985" s="1"/>
      <c r="H985" s="1"/>
    </row>
    <row r="986" ht="15.75" customHeight="1">
      <c r="A986" s="1"/>
      <c r="B986" s="96"/>
      <c r="C986" s="1"/>
      <c r="D986" s="1"/>
      <c r="E986" s="1"/>
      <c r="F986" s="1"/>
      <c r="G986" s="1"/>
      <c r="H986" s="1"/>
    </row>
    <row r="987" ht="15.75" customHeight="1">
      <c r="A987" s="1"/>
      <c r="B987" s="96"/>
      <c r="C987" s="1"/>
      <c r="D987" s="1"/>
      <c r="E987" s="1"/>
      <c r="F987" s="1"/>
      <c r="G987" s="1"/>
      <c r="H987" s="1"/>
    </row>
    <row r="988" ht="15.75" customHeight="1">
      <c r="A988" s="1"/>
      <c r="B988" s="96"/>
      <c r="C988" s="1"/>
      <c r="D988" s="1"/>
      <c r="E988" s="1"/>
      <c r="F988" s="1"/>
      <c r="G988" s="1"/>
      <c r="H988" s="1"/>
    </row>
    <row r="989" ht="15.75" customHeight="1">
      <c r="A989" s="1"/>
      <c r="B989" s="96"/>
      <c r="C989" s="1"/>
      <c r="D989" s="1"/>
      <c r="E989" s="1"/>
      <c r="F989" s="1"/>
      <c r="G989" s="1"/>
      <c r="H989" s="1"/>
    </row>
    <row r="990" ht="15.75" customHeight="1">
      <c r="A990" s="1"/>
      <c r="B990" s="96"/>
      <c r="C990" s="1"/>
      <c r="D990" s="1"/>
      <c r="E990" s="1"/>
      <c r="F990" s="1"/>
      <c r="G990" s="1"/>
      <c r="H990" s="1"/>
    </row>
    <row r="991" ht="15.75" customHeight="1">
      <c r="A991" s="1"/>
      <c r="B991" s="96"/>
      <c r="C991" s="1"/>
      <c r="D991" s="1"/>
      <c r="E991" s="1"/>
      <c r="F991" s="1"/>
      <c r="G991" s="1"/>
      <c r="H991" s="1"/>
    </row>
    <row r="992" ht="15.75" customHeight="1">
      <c r="A992" s="1"/>
      <c r="B992" s="96"/>
      <c r="C992" s="1"/>
      <c r="D992" s="1"/>
      <c r="E992" s="1"/>
      <c r="F992" s="1"/>
      <c r="G992" s="1"/>
      <c r="H992" s="1"/>
    </row>
    <row r="993" ht="15.75" customHeight="1">
      <c r="A993" s="1"/>
      <c r="B993" s="96"/>
      <c r="C993" s="1"/>
      <c r="D993" s="1"/>
      <c r="E993" s="1"/>
      <c r="F993" s="1"/>
      <c r="G993" s="1"/>
      <c r="H993" s="1"/>
    </row>
    <row r="994" ht="15.75" customHeight="1">
      <c r="A994" s="1"/>
      <c r="B994" s="96"/>
      <c r="C994" s="1"/>
      <c r="D994" s="1"/>
      <c r="E994" s="1"/>
      <c r="F994" s="1"/>
      <c r="G994" s="1"/>
      <c r="H994" s="1"/>
    </row>
    <row r="995" ht="15.75" customHeight="1">
      <c r="A995" s="1"/>
      <c r="B995" s="96"/>
      <c r="C995" s="1"/>
      <c r="D995" s="1"/>
      <c r="E995" s="1"/>
      <c r="F995" s="1"/>
      <c r="G995" s="1"/>
      <c r="H995" s="1"/>
    </row>
    <row r="996" ht="15.75" customHeight="1">
      <c r="A996" s="1"/>
      <c r="B996" s="96"/>
      <c r="C996" s="1"/>
      <c r="D996" s="1"/>
      <c r="E996" s="1"/>
      <c r="F996" s="1"/>
      <c r="G996" s="1"/>
      <c r="H996" s="1"/>
    </row>
    <row r="997" ht="15.75" customHeight="1">
      <c r="A997" s="1"/>
      <c r="B997" s="96"/>
      <c r="C997" s="1"/>
      <c r="D997" s="1"/>
      <c r="E997" s="1"/>
      <c r="F997" s="1"/>
      <c r="G997" s="1"/>
      <c r="H997" s="1"/>
    </row>
    <row r="998" ht="15.75" customHeight="1">
      <c r="A998" s="1"/>
      <c r="B998" s="96"/>
      <c r="C998" s="1"/>
      <c r="D998" s="1"/>
      <c r="E998" s="1"/>
      <c r="F998" s="1"/>
      <c r="G998" s="1"/>
      <c r="H998" s="1"/>
    </row>
    <row r="999" ht="15.75" customHeight="1">
      <c r="A999" s="1"/>
      <c r="B999" s="96"/>
      <c r="C999" s="1"/>
      <c r="D999" s="1"/>
      <c r="E999" s="1"/>
      <c r="F999" s="1"/>
      <c r="G999" s="1"/>
      <c r="H999" s="1"/>
    </row>
    <row r="1000" ht="15.75" customHeight="1">
      <c r="A1000" s="1"/>
      <c r="B1000" s="96"/>
      <c r="C1000" s="1"/>
      <c r="D1000" s="1"/>
      <c r="E1000" s="1"/>
      <c r="F1000" s="1"/>
      <c r="G1000" s="1"/>
      <c r="H1000" s="1"/>
    </row>
  </sheetData>
  <mergeCells count="7">
    <mergeCell ref="B2:G2"/>
    <mergeCell ref="O9:R9"/>
    <mergeCell ref="B15:F15"/>
    <mergeCell ref="G15:H15"/>
    <mergeCell ref="C19:E19"/>
    <mergeCell ref="C20:E20"/>
    <mergeCell ref="C21:E2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2026-05-27T01:57:12Z</dcterms:created>
  <dc:creator>openpyxl</dc:creator>
</cp:coreProperties>
</file>