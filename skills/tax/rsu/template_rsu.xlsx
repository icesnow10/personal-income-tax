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put" sheetId="1" state="visible" r:id="rId1"/>
    <sheet name="do_not_change__calculation_memo" sheetId="2" state="visible" r:id="rId2"/>
    <sheet name="aux_ptax_historical_data" sheetId="3" state="visible" r:id="rId3"/>
    <sheet name="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#,##0;\(#,##0\)"/>
    <numFmt numFmtId="166" formatCode="[$R$]#,##0.0000"/>
    <numFmt numFmtId="167" formatCode="[$R$]#,##0.00"/>
    <numFmt numFmtId="168" formatCode="[$USD]\ #,##0.0000;\-[$USD]\ #,##0.0000"/>
    <numFmt numFmtId="169" formatCode="[$USD]\ #,##0.00;\-[$USD]\ #,##0.00"/>
    <numFmt numFmtId="170" formatCode="&quot;$&quot;#,##0.00"/>
    <numFmt numFmtId="171" formatCode="yyyy&quot;-&quot;mm&quot;-&quot;dd"/>
    <numFmt numFmtId="172" formatCode="#,##0.0000;\(#,##0.0000\)"/>
    <numFmt numFmtId="173" formatCode="m/d/yyyy"/>
  </numFmts>
  <fonts count="15">
    <font>
      <name val="Arial"/>
      <color rgb="FF000000"/>
      <sz val="10"/>
      <scheme val="minor"/>
    </font>
    <font>
      <name val="Helvetica Neue"/>
      <color theme="1"/>
      <sz val="10"/>
    </font>
    <font>
      <name val="Helvetica Neue"/>
      <b val="1"/>
      <color rgb="FFFFFFFF"/>
    </font>
    <font/>
    <font>
      <name val="Helvetica Neue"/>
      <b val="1"/>
      <color theme="1"/>
    </font>
    <font>
      <name val="Helvetica Neue"/>
      <b val="1"/>
      <color theme="1"/>
      <sz val="10"/>
    </font>
    <font>
      <name val="Helvetica Neue"/>
      <color rgb="FF0000FF"/>
    </font>
    <font>
      <name val="Helvetica Neue"/>
      <color theme="1"/>
    </font>
    <font>
      <name val="Helvetica Neue"/>
      <color rgb="FF000000"/>
      <sz val="10"/>
    </font>
    <font>
      <name val="Arial"/>
      <color theme="1"/>
    </font>
    <font>
      <name val="Helvetica Neue"/>
      <color rgb="FF0000FF"/>
      <sz val="10"/>
    </font>
    <font>
      <name val="Helvetica Neue"/>
      <b val="1"/>
      <color rgb="FFFFFFFF"/>
      <sz val="10"/>
    </font>
    <font>
      <name val="Arial"/>
      <b val="1"/>
      <color theme="1"/>
    </font>
    <font>
      <name val="Arial"/>
      <color theme="1"/>
      <sz val="10"/>
    </font>
    <font>
      <name val="Arial"/>
      <color rgb="FF000000"/>
      <sz val="10"/>
    </font>
  </fonts>
  <fills count="6">
    <fill>
      <patternFill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4" fillId="3" borderId="1" applyAlignment="1" pivotButton="0" quotePrefix="0" xfId="0">
      <alignment horizontal="center"/>
    </xf>
    <xf numFmtId="0" fontId="3" fillId="0" borderId="3" pivotButton="0" quotePrefix="0" xfId="0"/>
    <xf numFmtId="0" fontId="5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 wrapText="1"/>
    </xf>
    <xf numFmtId="164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65" fontId="7" fillId="4" borderId="4" applyAlignment="1" pivotButton="0" quotePrefix="0" xfId="0">
      <alignment horizontal="right" vertical="bottom"/>
    </xf>
    <xf numFmtId="166" fontId="7" fillId="4" borderId="4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8" fontId="7" fillId="4" borderId="4" applyAlignment="1" pivotButton="0" quotePrefix="0" xfId="0">
      <alignment horizontal="right"/>
    </xf>
    <xf numFmtId="169" fontId="6" fillId="0" borderId="4" applyAlignment="1" pivotButton="0" quotePrefix="0" xfId="0">
      <alignment horizontal="right"/>
    </xf>
    <xf numFmtId="169" fontId="1" fillId="0" borderId="0" applyAlignment="1" pivotButton="0" quotePrefix="0" xfId="0">
      <alignment vertical="center"/>
    </xf>
    <xf numFmtId="166" fontId="6" fillId="0" borderId="4" applyAlignment="1" pivotButton="0" quotePrefix="0" xfId="0">
      <alignment horizontal="right"/>
    </xf>
    <xf numFmtId="167" fontId="6" fillId="0" borderId="4" applyAlignment="1" pivotButton="0" quotePrefix="0" xfId="0">
      <alignment horizontal="right"/>
    </xf>
    <xf numFmtId="169" fontId="8" fillId="0" borderId="0" applyAlignment="1" pivotButton="0" quotePrefix="0" xfId="0">
      <alignment vertical="center"/>
    </xf>
    <xf numFmtId="0" fontId="2" fillId="2" borderId="4" pivotButton="0" quotePrefix="0" xfId="0"/>
    <xf numFmtId="0" fontId="9" fillId="2" borderId="4" pivotButton="0" quotePrefix="0" xfId="0"/>
    <xf numFmtId="165" fontId="2" fillId="2" borderId="4" applyAlignment="1" pivotButton="0" quotePrefix="0" xfId="0">
      <alignment horizontal="right"/>
    </xf>
    <xf numFmtId="167" fontId="2" fillId="2" borderId="4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 wrapText="1"/>
    </xf>
    <xf numFmtId="14" fontId="7" fillId="4" borderId="4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right"/>
    </xf>
    <xf numFmtId="170" fontId="7" fillId="4" borderId="4" applyAlignment="1" pivotButton="0" quotePrefix="0" xfId="0">
      <alignment horizontal="right"/>
    </xf>
    <xf numFmtId="166" fontId="10" fillId="0" borderId="4" applyAlignment="1" pivotButton="0" quotePrefix="0" xfId="0">
      <alignment vertical="center"/>
    </xf>
    <xf numFmtId="167" fontId="10" fillId="0" borderId="4" applyAlignment="1" pivotButton="0" quotePrefix="0" xfId="0">
      <alignment vertical="center"/>
    </xf>
    <xf numFmtId="17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4" borderId="4" applyAlignment="1" pivotButton="0" quotePrefix="0" xfId="0">
      <alignment horizontal="center" vertical="center"/>
    </xf>
    <xf numFmtId="0" fontId="1" fillId="4" borderId="4" applyAlignment="1" pivotButton="0" quotePrefix="0" xfId="0">
      <alignment vertical="center"/>
    </xf>
    <xf numFmtId="170" fontId="8" fillId="4" borderId="4" applyAlignment="1" pivotButton="0" quotePrefix="0" xfId="0">
      <alignment vertical="center"/>
    </xf>
    <xf numFmtId="169" fontId="8" fillId="4" borderId="4" applyAlignment="1" pivotButton="0" quotePrefix="0" xfId="0">
      <alignment vertical="center"/>
    </xf>
    <xf numFmtId="167" fontId="10" fillId="0" borderId="0" applyAlignment="1" pivotButton="0" quotePrefix="0" xfId="0">
      <alignment vertical="center"/>
    </xf>
    <xf numFmtId="0" fontId="11" fillId="2" borderId="4" applyAlignment="1" pivotButton="0" quotePrefix="0" xfId="0">
      <alignment vertical="center"/>
    </xf>
    <xf numFmtId="165" fontId="11" fillId="2" borderId="4" applyAlignment="1" pivotButton="0" quotePrefix="0" xfId="0">
      <alignment vertical="center"/>
    </xf>
    <xf numFmtId="167" fontId="11" fillId="2" borderId="4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171" fontId="9" fillId="0" borderId="0" pivotButton="0" quotePrefix="0" xfId="0"/>
    <xf numFmtId="0" fontId="9" fillId="0" borderId="0" applyAlignment="1" pivotButton="0" quotePrefix="0" xfId="0">
      <alignment vertical="bottom"/>
    </xf>
    <xf numFmtId="171" fontId="2" fillId="2" borderId="1" applyAlignment="1" pivotButton="0" quotePrefix="0" xfId="0">
      <alignment horizontal="center"/>
    </xf>
    <xf numFmtId="0" fontId="12" fillId="5" borderId="5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171" fontId="4" fillId="0" borderId="4" applyAlignment="1" pivotButton="0" quotePrefix="0" xfId="0">
      <alignment horizontal="center"/>
    </xf>
    <xf numFmtId="0" fontId="12" fillId="5" borderId="4" applyAlignment="1" pivotButton="0" quotePrefix="0" xfId="0">
      <alignment horizontal="center"/>
    </xf>
    <xf numFmtId="0" fontId="4" fillId="5" borderId="4" applyAlignment="1" pivotButton="0" quotePrefix="0" xfId="0">
      <alignment horizontal="center"/>
    </xf>
    <xf numFmtId="171" fontId="6" fillId="0" borderId="4" applyAlignment="1" pivotButton="0" quotePrefix="0" xfId="0">
      <alignment horizontal="center"/>
    </xf>
    <xf numFmtId="165" fontId="6" fillId="0" borderId="4" applyAlignment="1" pivotButton="0" quotePrefix="0" xfId="0">
      <alignment horizontal="center"/>
    </xf>
    <xf numFmtId="170" fontId="6" fillId="0" borderId="4" applyAlignment="1" pivotButton="0" quotePrefix="0" xfId="0">
      <alignment horizontal="center"/>
    </xf>
    <xf numFmtId="166" fontId="6" fillId="0" borderId="4" applyAlignment="1" pivotButton="0" quotePrefix="0" xfId="0">
      <alignment horizontal="center"/>
    </xf>
    <xf numFmtId="167" fontId="1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170" fontId="10" fillId="0" borderId="4" applyAlignment="1" pivotButton="0" quotePrefix="0" xfId="0">
      <alignment horizontal="center" vertical="center"/>
    </xf>
    <xf numFmtId="171" fontId="9" fillId="0" borderId="4" pivotButton="0" quotePrefix="0" xfId="0"/>
    <xf numFmtId="0" fontId="9" fillId="0" borderId="4" pivotButton="0" quotePrefix="0" xfId="0"/>
    <xf numFmtId="165" fontId="9" fillId="0" borderId="4" pivotButton="0" quotePrefix="0" xfId="0"/>
    <xf numFmtId="170" fontId="9" fillId="0" borderId="4" pivotButton="0" quotePrefix="0" xfId="0"/>
    <xf numFmtId="166" fontId="9" fillId="0" borderId="4" pivotButton="0" quotePrefix="0" xfId="0"/>
    <xf numFmtId="14" fontId="8" fillId="0" borderId="0" applyAlignment="1" pivotButton="0" quotePrefix="0" xfId="0">
      <alignment horizontal="right"/>
    </xf>
    <xf numFmtId="171" fontId="8" fillId="0" borderId="0" applyAlignment="1" pivotButton="0" quotePrefix="0" xfId="0">
      <alignment horizontal="right"/>
    </xf>
    <xf numFmtId="0" fontId="1" fillId="0" borderId="0" pivotButton="0" quotePrefix="0" xfId="0"/>
    <xf numFmtId="0" fontId="8" fillId="0" borderId="0" pivotButton="0" quotePrefix="0" xfId="0"/>
    <xf numFmtId="171" fontId="2" fillId="2" borderId="4" applyAlignment="1" pivotButton="0" quotePrefix="0" xfId="0">
      <alignment horizontal="center" vertical="bottom"/>
    </xf>
    <xf numFmtId="0" fontId="2" fillId="2" borderId="4" applyAlignment="1" pivotButton="0" quotePrefix="0" xfId="0">
      <alignment horizontal="center" vertical="bottom"/>
    </xf>
    <xf numFmtId="171" fontId="8" fillId="0" borderId="4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172" fontId="8" fillId="0" borderId="4" applyAlignment="1" pivotButton="0" quotePrefix="0" xfId="0">
      <alignment horizontal="center"/>
    </xf>
    <xf numFmtId="173" fontId="8" fillId="0" borderId="0" pivotButton="0" quotePrefix="0" xfId="0"/>
    <xf numFmtId="171" fontId="8" fillId="0" borderId="0" pivotButton="0" quotePrefix="0" xfId="0"/>
    <xf numFmtId="0" fontId="9" fillId="0" borderId="0" pivotButton="0" quotePrefix="0" xfId="0"/>
    <xf numFmtId="14" fontId="1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right" vertical="center"/>
    </xf>
    <xf numFmtId="167" fontId="10" fillId="0" borderId="4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0" fontId="13" fillId="0" borderId="0" pivotButton="0" quotePrefix="0" xfId="0"/>
    <xf numFmtId="0" fontId="4" fillId="5" borderId="4" applyAlignment="1" pivotButton="0" quotePrefix="0" xfId="0">
      <alignment horizontal="center" wrapText="1"/>
    </xf>
    <xf numFmtId="165" fontId="10" fillId="0" borderId="4" applyAlignment="1" pivotButton="0" quotePrefix="0" xfId="0">
      <alignment horizontal="right" vertical="center"/>
    </xf>
    <xf numFmtId="169" fontId="10" fillId="0" borderId="4" applyAlignment="1" pivotButton="0" quotePrefix="0" xfId="0">
      <alignment vertical="center"/>
    </xf>
    <xf numFmtId="0" fontId="4" fillId="5" borderId="1" applyAlignment="1" pivotButton="0" quotePrefix="0" xfId="0">
      <alignment horizontal="center"/>
    </xf>
    <xf numFmtId="167" fontId="1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4" fillId="3" borderId="4" applyAlignment="1" pivotButton="0" quotePrefix="0" xfId="0">
      <alignment horizontal="center"/>
    </xf>
    <xf numFmtId="0" fontId="0" fillId="0" borderId="3" pivotButton="0" quotePrefix="0" xfId="0"/>
    <xf numFmtId="0" fontId="2" fillId="2" borderId="4" applyAlignment="1" pivotButton="0" quotePrefix="0" xfId="0">
      <alignment horizontal="center"/>
    </xf>
    <xf numFmtId="0" fontId="12" fillId="5" borderId="8" applyAlignment="1" pivotButton="0" quotePrefix="0" xfId="0">
      <alignment horizontal="center"/>
    </xf>
    <xf numFmtId="164" fontId="1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6"/>
  <sheetViews>
    <sheetView showGridLines="0" workbookViewId="0">
      <selection activeCell="A1" sqref="A1"/>
    </sheetView>
  </sheetViews>
  <sheetFormatPr baseColWidth="8" defaultColWidth="12.63" defaultRowHeight="15" customHeight="1"/>
  <cols>
    <col width="2.75" customWidth="1" style="85" min="1" max="1"/>
    <col width="10.13" customWidth="1" style="85" min="2" max="2"/>
    <col width="11" customWidth="1" style="85" min="3" max="3"/>
    <col width="12.88" customWidth="1" style="85" min="4" max="4"/>
    <col width="21.13" customWidth="1" style="85" min="5" max="5"/>
    <col width="17.38" customWidth="1" style="85" min="6" max="6"/>
    <col width="18.13" customWidth="1" style="85" min="7" max="7"/>
    <col width="16.88" customWidth="1" style="85" min="8" max="8"/>
    <col width="19.13" customWidth="1" style="85" min="9" max="9"/>
    <col width="18.38" customWidth="1" style="85" min="10" max="12"/>
    <col width="13.38" customWidth="1" style="85" min="14" max="14"/>
  </cols>
  <sheetData>
    <row r="1" ht="12.75" customHeight="1" s="8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2.75" customHeight="1" s="85">
      <c r="A2" s="1" t="n"/>
      <c r="B2" s="2" t="inlineStr">
        <is>
          <t>Information declared in prior year (2024)</t>
        </is>
      </c>
      <c r="C2" s="86" t="n"/>
      <c r="D2" s="86" t="n"/>
      <c r="E2" s="86" t="n"/>
      <c r="F2" s="86" t="n"/>
      <c r="G2" s="87" t="inlineStr">
        <is>
          <t>Detail in the 'Description' field</t>
        </is>
      </c>
      <c r="H2" s="88" t="n"/>
      <c r="I2" s="6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2.75" customHeight="1" s="85">
      <c r="A3" s="1" t="n"/>
      <c r="B3" s="7" t="inlineStr">
        <is>
          <t>date</t>
        </is>
      </c>
      <c r="C3" s="7" t="inlineStr">
        <is>
          <t>event</t>
        </is>
      </c>
      <c r="D3" s="8" t="inlineStr">
        <is>
          <t>declared_quantity</t>
        </is>
      </c>
      <c r="E3" s="8" t="inlineStr">
        <is>
          <t>declared_avg_price_brl</t>
        </is>
      </c>
      <c r="F3" s="8" t="inlineStr">
        <is>
          <t>position_2024_12_31_brl</t>
        </is>
      </c>
      <c r="G3" s="7" t="inlineStr">
        <is>
          <t>avg_cost_usd</t>
        </is>
      </c>
      <c r="H3" s="7" t="inlineStr">
        <is>
          <t>total_cost_usd</t>
        </is>
      </c>
      <c r="I3" s="6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2.75" customHeight="1" s="85">
      <c r="A4" s="1" t="n"/>
      <c r="B4" s="9" t="n">
        <v>45657</v>
      </c>
      <c r="C4" s="10" t="inlineStr">
        <is>
          <t>Saldo inicial</t>
        </is>
      </c>
      <c r="D4" s="11" t="n"/>
      <c r="E4" s="12" t="n"/>
      <c r="F4" s="13">
        <f>E4*D4</f>
        <v/>
      </c>
      <c r="G4" s="14" t="n"/>
      <c r="H4" s="15">
        <f>G4*D4</f>
        <v/>
      </c>
      <c r="I4" s="16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.75" customHeight="1" s="8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2.75" customHeight="1" s="85">
      <c r="A6" s="1" t="n"/>
      <c r="B6" s="89" t="inlineStr">
        <is>
          <t>Vesting of RSUs — totals by release date (auto-computed from the per-grant detail below)</t>
        </is>
      </c>
      <c r="C6" s="86" t="n"/>
      <c r="D6" s="86" t="n"/>
      <c r="E6" s="86" t="n"/>
      <c r="F6" s="86" t="n"/>
      <c r="G6" s="86" t="n"/>
      <c r="H6" s="88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2.75" customHeight="1" s="85">
      <c r="A7" s="1" t="n"/>
      <c r="B7" s="7" t="inlineStr">
        <is>
          <t>release_date</t>
        </is>
      </c>
      <c r="C7" s="7" t="inlineStr">
        <is>
          <t>event</t>
        </is>
      </c>
      <c r="D7" s="8" t="inlineStr">
        <is>
          <t>quantity_released</t>
        </is>
      </c>
      <c r="E7" s="8" t="inlineStr">
        <is>
          <t>share_closing_price_usd</t>
        </is>
      </c>
      <c r="F7" s="8" t="inlineStr">
        <is>
          <t>fx_rate_brl_usd_ptax_sell</t>
        </is>
      </c>
      <c r="G7" s="7" t="inlineStr">
        <is>
          <t>share_value_brl</t>
        </is>
      </c>
      <c r="H7" s="7" t="inlineStr">
        <is>
          <t>total_value_brl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2.75" customHeight="1" s="85">
      <c r="A8" s="1" t="n"/>
      <c r="B8" s="9" t="n">
        <v>45660</v>
      </c>
      <c r="C8" s="10" t="inlineStr">
        <is>
          <t>Vesting</t>
        </is>
      </c>
      <c r="D8" s="11">
        <f>SUMIFS($E$30:$E$45,$B$30:$B$45,B8)</f>
        <v/>
      </c>
      <c r="E8" s="15">
        <f>IFERROR(INDEX($F$30:$F$45,MATCH(B8,$B$30:$B$45,0)),0)</f>
        <v/>
      </c>
      <c r="F8" s="17">
        <f t="array" ref="F8">IFERROR(XLOOKUP(B8,aux_ptax_historical_data!B:B,aux_ptax_historical_data!E:E),"")</f>
        <v/>
      </c>
      <c r="G8" s="18">
        <f>ROUND(E8*F8,2)</f>
        <v/>
      </c>
      <c r="H8" s="18">
        <f>D8*G8</f>
        <v/>
      </c>
      <c r="I8" s="1" t="n"/>
      <c r="J8" s="1" t="n"/>
      <c r="K8" s="1" t="n"/>
      <c r="L8" s="1" t="n"/>
      <c r="M8" s="1" t="n"/>
      <c r="N8" s="19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2.75" customHeight="1" s="85">
      <c r="A9" s="1" t="n"/>
      <c r="B9" s="9" t="n">
        <v>45748</v>
      </c>
      <c r="C9" s="10" t="inlineStr">
        <is>
          <t>Vesting</t>
        </is>
      </c>
      <c r="D9" s="11">
        <f>SUMIFS($E$30:$E$45,$B$30:$B$45,B9)</f>
        <v/>
      </c>
      <c r="E9" s="15">
        <f>IFERROR(INDEX($F$30:$F$45,MATCH(B9,$B$30:$B$45,0)),0)</f>
        <v/>
      </c>
      <c r="F9" s="17">
        <f t="array" ref="F9">IFERROR(XLOOKUP(B9,aux_ptax_historical_data!B:B,aux_ptax_historical_data!E:E),"")</f>
        <v/>
      </c>
      <c r="G9" s="18">
        <f>ROUND(E9*F9,2)</f>
        <v/>
      </c>
      <c r="H9" s="18">
        <f>D9*G9</f>
        <v/>
      </c>
      <c r="I9" s="1" t="n"/>
      <c r="J9" s="1" t="n"/>
      <c r="K9" s="1" t="n"/>
      <c r="L9" s="1" t="n"/>
      <c r="M9" s="1" t="n"/>
      <c r="N9" s="19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2.75" customHeight="1" s="85">
      <c r="A10" s="1" t="n"/>
      <c r="B10" s="9" t="n">
        <v>45839</v>
      </c>
      <c r="C10" s="10" t="inlineStr">
        <is>
          <t>Vesting</t>
        </is>
      </c>
      <c r="D10" s="11">
        <f>SUMIFS($E$30:$E$45,$B$30:$B$45,B10)</f>
        <v/>
      </c>
      <c r="E10" s="15">
        <f>IFERROR(INDEX($F$30:$F$45,MATCH(B10,$B$30:$B$45,0)),0)</f>
        <v/>
      </c>
      <c r="F10" s="17">
        <f t="array" ref="F10">IFERROR(XLOOKUP(B10,aux_ptax_historical_data!B:B,aux_ptax_historical_data!E:E),"")</f>
        <v/>
      </c>
      <c r="G10" s="18">
        <f>ROUND(E10*F10,2)</f>
        <v/>
      </c>
      <c r="H10" s="18">
        <f>D10*G10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2.75" customHeight="1" s="85">
      <c r="A11" s="1" t="n"/>
      <c r="B11" s="9" t="n">
        <v>45931</v>
      </c>
      <c r="C11" s="10" t="inlineStr">
        <is>
          <t>Vesting</t>
        </is>
      </c>
      <c r="D11" s="11">
        <f>SUMIFS($E$30:$E$45,$B$30:$B$45,B11)</f>
        <v/>
      </c>
      <c r="E11" s="15">
        <f>IFERROR(INDEX($F$30:$F$45,MATCH(B11,$B$30:$B$45,0)),0)</f>
        <v/>
      </c>
      <c r="F11" s="17">
        <f t="array" ref="F11">IFERROR(XLOOKUP(B11,aux_ptax_historical_data!B:B,aux_ptax_historical_data!E:E),"")</f>
        <v/>
      </c>
      <c r="G11" s="18">
        <f>ROUND(E11*F11,2)</f>
        <v/>
      </c>
      <c r="H11" s="18">
        <f>D11*G11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2.75" customHeight="1" s="85">
      <c r="A12" s="1" t="n"/>
      <c r="B12" s="20" t="inlineStr">
        <is>
          <t>total</t>
        </is>
      </c>
      <c r="C12" s="21" t="n"/>
      <c r="D12" s="22">
        <f>SUM(D8:D11)</f>
        <v/>
      </c>
      <c r="E12" s="21" t="n"/>
      <c r="F12" s="21" t="n"/>
      <c r="G12" s="21" t="n"/>
      <c r="H12" s="23">
        <f>SUM(H8:H11)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2.75" customHeight="1" s="85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2.75" customHeight="1" s="85">
      <c r="A14" s="1" t="n"/>
      <c r="B14" s="89" t="inlineStr">
        <is>
          <t>Sale of shares (if applicable)</t>
        </is>
      </c>
      <c r="C14" s="86" t="n"/>
      <c r="D14" s="86" t="n"/>
      <c r="E14" s="86" t="n"/>
      <c r="F14" s="86" t="n"/>
      <c r="G14" s="86" t="n"/>
      <c r="H14" s="88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2.75" customHeight="1" s="85">
      <c r="A15" s="1" t="n"/>
      <c r="B15" s="7" t="inlineStr">
        <is>
          <t>date</t>
        </is>
      </c>
      <c r="C15" s="7" t="inlineStr">
        <is>
          <t>event</t>
        </is>
      </c>
      <c r="D15" s="8" t="inlineStr">
        <is>
          <t>quantity_sold</t>
        </is>
      </c>
      <c r="E15" s="8" t="inlineStr">
        <is>
          <t>sale_price_usd</t>
        </is>
      </c>
      <c r="F15" s="8" t="inlineStr">
        <is>
          <t>fx_rate_brl_usd_ptax_buy</t>
        </is>
      </c>
      <c r="G15" s="8" t="inlineStr">
        <is>
          <t>share_value_brl</t>
        </is>
      </c>
      <c r="H15" s="8" t="inlineStr">
        <is>
          <t>total_value_brl</t>
        </is>
      </c>
      <c r="I15" s="24" t="n"/>
      <c r="J15" s="24" t="n"/>
      <c r="K15" s="24" t="n"/>
      <c r="L15" s="24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.75" customHeight="1" s="85">
      <c r="A16" s="1" t="n"/>
      <c r="B16" s="25" t="n"/>
      <c r="C16" s="26">
        <f>IF(B16="","","Venda")</f>
        <v/>
      </c>
      <c r="D16" s="27" t="n"/>
      <c r="E16" s="28" t="n"/>
      <c r="F16" s="29">
        <f t="array" ref="F16">IFERROR(XLOOKUP(B16,aux_ptax_historical_data!B:B,aux_ptax_historical_data!D:D),"")</f>
        <v/>
      </c>
      <c r="G16" s="30">
        <f>IF(B16="","",ROUND(E16*F16,2))</f>
        <v/>
      </c>
      <c r="H16" s="30">
        <f>IF(B16="","",D16*G16)</f>
        <v/>
      </c>
      <c r="I16" s="31" t="n"/>
      <c r="J16" s="32" t="n"/>
      <c r="K16" s="32" t="n"/>
      <c r="L16" s="3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85">
      <c r="A17" s="1" t="n"/>
      <c r="B17" s="25" t="n"/>
      <c r="C17" s="26">
        <f>IF(B17="","","Venda")</f>
        <v/>
      </c>
      <c r="D17" s="27" t="n"/>
      <c r="E17" s="28" t="n"/>
      <c r="F17" s="29">
        <f t="array" ref="F17">IFERROR(XLOOKUP(B17,aux_ptax_historical_data!B:B,aux_ptax_historical_data!D:D),"")</f>
        <v/>
      </c>
      <c r="G17" s="30">
        <f>IF(B17="","",ROUND(E17*F17,2))</f>
        <v/>
      </c>
      <c r="H17" s="30">
        <f>IF(B17="","",D17*G17)</f>
        <v/>
      </c>
      <c r="I17" s="31" t="n"/>
      <c r="J17" s="32" t="n"/>
      <c r="K17" s="32" t="n"/>
      <c r="L17" s="3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 s="85">
      <c r="A18" s="1" t="n"/>
      <c r="B18" s="25" t="n"/>
      <c r="C18" s="26">
        <f>IF(B18="","","Venda")</f>
        <v/>
      </c>
      <c r="D18" s="27" t="n"/>
      <c r="E18" s="28" t="n"/>
      <c r="F18" s="29">
        <f t="array" ref="F18">IFERROR(XLOOKUP(B18,aux_ptax_historical_data!B:B,aux_ptax_historical_data!D:D),"")</f>
        <v/>
      </c>
      <c r="G18" s="30">
        <f>IF(B18="","",ROUND(E18*F18,2))</f>
        <v/>
      </c>
      <c r="H18" s="30">
        <f>IF(B18="","",D18*G18)</f>
        <v/>
      </c>
      <c r="I18" s="31" t="n"/>
      <c r="J18" s="32" t="n"/>
      <c r="K18" s="32" t="n"/>
      <c r="L18" s="3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 s="85">
      <c r="A19" s="1" t="n"/>
      <c r="B19" s="25" t="n"/>
      <c r="C19" s="26">
        <f>IF(B19="","","Venda")</f>
        <v/>
      </c>
      <c r="D19" s="27" t="n"/>
      <c r="E19" s="28" t="n"/>
      <c r="F19" s="29">
        <f t="array" ref="F19">IFERROR(XLOOKUP(B19,aux_ptax_historical_data!B:B,aux_ptax_historical_data!D:D),"")</f>
        <v/>
      </c>
      <c r="G19" s="30">
        <f>IF(B19="","",ROUND(E19*F19,2))</f>
        <v/>
      </c>
      <c r="H19" s="30">
        <f>IF(B19="","",D19*G19)</f>
        <v/>
      </c>
      <c r="I19" s="31" t="n"/>
      <c r="J19" s="32" t="n"/>
      <c r="K19" s="32" t="n"/>
      <c r="L19" s="3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2.75" customHeight="1" s="85">
      <c r="A20" s="1" t="n"/>
      <c r="B20" s="25" t="n"/>
      <c r="C20" s="26">
        <f>IF(B20="","","Venda")</f>
        <v/>
      </c>
      <c r="D20" s="27" t="n"/>
      <c r="E20" s="28" t="n"/>
      <c r="F20" s="29">
        <f t="array" ref="F20">IFERROR(XLOOKUP(B20,aux_ptax_historical_data!B:B,aux_ptax_historical_data!D:D),"")</f>
        <v/>
      </c>
      <c r="G20" s="30">
        <f>IF(B20="","",ROUND(E20*F20,2))</f>
        <v/>
      </c>
      <c r="H20" s="30">
        <f>IF(B20="","",D20*G20)</f>
        <v/>
      </c>
      <c r="I20" s="31" t="n"/>
      <c r="J20" s="32" t="n"/>
      <c r="K20" s="32" t="n"/>
      <c r="L20" s="3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2.75" customHeight="1" s="85">
      <c r="A21" s="1" t="n"/>
      <c r="B21" s="33" t="n"/>
      <c r="C21" s="26" t="n"/>
      <c r="D21" s="34" t="n"/>
      <c r="E21" s="35" t="n"/>
      <c r="F21" s="29">
        <f t="array" ref="F21">IFERROR(XLOOKUP(B21,aux_ptax_historical_data!B:B,aux_ptax_historical_data!D:D),"")</f>
        <v/>
      </c>
      <c r="G21" s="30">
        <f>IF(B21="","",ROUND(E21*F21,2))</f>
        <v/>
      </c>
      <c r="H21" s="30">
        <f>IF(B21="","",D21*G21)</f>
        <v/>
      </c>
      <c r="I21" s="31" t="n"/>
      <c r="J21" s="32" t="n"/>
      <c r="K21" s="32" t="n"/>
      <c r="L21" s="3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2.75" customHeight="1" s="85">
      <c r="A22" s="1" t="n"/>
      <c r="B22" s="33" t="n"/>
      <c r="C22" s="26" t="n"/>
      <c r="D22" s="34" t="n"/>
      <c r="E22" s="35" t="n"/>
      <c r="F22" s="29">
        <f t="array" ref="F22">IFERROR(XLOOKUP(B22,aux_ptax_historical_data!B:B,aux_ptax_historical_data!D:D),"")</f>
        <v/>
      </c>
      <c r="G22" s="30">
        <f>IF(B22="","",ROUND(E22*F22,2))</f>
        <v/>
      </c>
      <c r="H22" s="30">
        <f>IF(B22="","",D22*G22)</f>
        <v/>
      </c>
      <c r="I22" s="31" t="n"/>
      <c r="J22" s="32" t="n"/>
      <c r="K22" s="32" t="n"/>
      <c r="L22" s="3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2.75" customHeight="1" s="85">
      <c r="A23" s="1" t="n"/>
      <c r="B23" s="33" t="n"/>
      <c r="C23" s="26">
        <f>IF(B23="","","Venda")</f>
        <v/>
      </c>
      <c r="D23" s="34" t="n"/>
      <c r="E23" s="36" t="n"/>
      <c r="F23" s="29">
        <f t="array" ref="F23">IFERROR(XLOOKUP(B23,aux_ptax_historical_data!B:B,aux_ptax_historical_data!D:D),"")</f>
        <v/>
      </c>
      <c r="G23" s="30">
        <f>IF(B23="","",ROUND(E23*F23,2))</f>
        <v/>
      </c>
      <c r="H23" s="30">
        <f>IF(B23="","",D23*G23)</f>
        <v/>
      </c>
      <c r="I23" s="37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2.75" customHeight="1" s="85">
      <c r="A24" s="1" t="n"/>
      <c r="B24" s="33" t="n"/>
      <c r="C24" s="26">
        <f>IF(B24="","","Venda")</f>
        <v/>
      </c>
      <c r="D24" s="34" t="n"/>
      <c r="E24" s="36" t="n"/>
      <c r="F24" s="29">
        <f t="array" ref="F24">IFERROR(XLOOKUP(B24,aux_ptax_historical_data!B:B,aux_ptax_historical_data!D:D),"")</f>
        <v/>
      </c>
      <c r="G24" s="30">
        <f>IF(B24="","",ROUND(E24*F24,2))</f>
        <v/>
      </c>
      <c r="H24" s="30">
        <f>IF(B24="","",D24*G24)</f>
        <v/>
      </c>
      <c r="I24" s="37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2.75" customHeight="1" s="85">
      <c r="A25" s="1" t="n"/>
      <c r="B25" s="33" t="n"/>
      <c r="C25" s="26">
        <f>IF(B25="","","Venda")</f>
        <v/>
      </c>
      <c r="D25" s="34" t="n"/>
      <c r="E25" s="36" t="n"/>
      <c r="F25" s="29">
        <f t="array" ref="F25">IFERROR(XLOOKUP(B25,aux_ptax_historical_data!B:B,aux_ptax_historical_data!D:D),"")</f>
        <v/>
      </c>
      <c r="G25" s="30">
        <f>IF(B25="","",ROUND(E25*F25,2))</f>
        <v/>
      </c>
      <c r="H25" s="30">
        <f>IF(B25="","",D25*G25)</f>
        <v/>
      </c>
      <c r="I25" s="37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2.75" customHeight="1" s="85">
      <c r="A26" s="1" t="n"/>
      <c r="B26" s="38" t="inlineStr">
        <is>
          <t>total</t>
        </is>
      </c>
      <c r="C26" s="38" t="n"/>
      <c r="D26" s="39">
        <f>SUM(D16:D25)</f>
        <v/>
      </c>
      <c r="E26" s="38" t="n"/>
      <c r="F26" s="38" t="n"/>
      <c r="G26" s="38" t="n"/>
      <c r="H26" s="40">
        <f>SUM(H16:H25)</f>
        <v/>
      </c>
      <c r="I26" s="37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2.75" customHeight="1" s="85">
      <c r="A27" s="1" t="n"/>
      <c r="B27" s="1" t="n"/>
      <c r="C27" s="1" t="n"/>
      <c r="D27" s="1" t="n"/>
      <c r="E27" s="1" t="n"/>
      <c r="F27" s="1" t="n"/>
      <c r="G27" s="1" t="n"/>
      <c r="H27" s="41" t="n"/>
      <c r="I27" s="4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2.75" customHeight="1" s="85">
      <c r="A28" s="1" t="n"/>
      <c r="B28" s="1" t="inlineStr">
        <is>
          <t>Vesting detail — enter one row per grant (release_date, award_date, award_number, net quantity, closing price)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2.75" customHeight="1" s="85">
      <c r="A29" s="1" t="n"/>
      <c r="B29" s="1" t="inlineStr">
        <is>
          <t>release_date</t>
        </is>
      </c>
      <c r="C29" s="1" t="inlineStr">
        <is>
          <t>award_date</t>
        </is>
      </c>
      <c r="D29" s="1" t="inlineStr">
        <is>
          <t>award_number</t>
        </is>
      </c>
      <c r="E29" s="1" t="inlineStr">
        <is>
          <t>net_quantity</t>
        </is>
      </c>
      <c r="F29" s="1" t="inlineStr">
        <is>
          <t>closing_price_usd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2.75" customHeight="1" s="85">
      <c r="A30" s="1" t="n"/>
      <c r="B30" s="91" t="n"/>
      <c r="C30" s="9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2.75" customHeight="1" s="85">
      <c r="A31" s="1" t="n"/>
      <c r="B31" s="91" t="n"/>
      <c r="C31" s="9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2.75" customHeight="1" s="85">
      <c r="A32" s="1" t="n"/>
      <c r="B32" s="91" t="n"/>
      <c r="C32" s="9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2.75" customHeight="1" s="85">
      <c r="A33" s="1" t="n"/>
      <c r="B33" s="91" t="n"/>
      <c r="C33" s="9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2.75" customHeight="1" s="85">
      <c r="A34" s="1" t="n"/>
      <c r="B34" s="91" t="n"/>
      <c r="C34" s="9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2.75" customHeight="1" s="85">
      <c r="A35" s="1" t="n"/>
      <c r="B35" s="91" t="n"/>
      <c r="C35" s="9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2.75" customHeight="1" s="85">
      <c r="A36" s="1" t="n"/>
      <c r="B36" s="91" t="n"/>
      <c r="C36" s="9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2.75" customHeight="1" s="85">
      <c r="A37" s="1" t="n"/>
      <c r="B37" s="91" t="n"/>
      <c r="C37" s="9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85">
      <c r="A38" s="1" t="n"/>
      <c r="B38" s="91" t="n"/>
      <c r="C38" s="9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85">
      <c r="A39" s="1" t="n"/>
      <c r="B39" s="91" t="n"/>
      <c r="C39" s="9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2.75" customHeight="1" s="85">
      <c r="A40" s="1" t="n"/>
      <c r="B40" s="91" t="n"/>
      <c r="C40" s="9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2.75" customHeight="1" s="85">
      <c r="A41" s="1" t="n"/>
      <c r="B41" s="91" t="n"/>
      <c r="C41" s="9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2.75" customHeight="1" s="85">
      <c r="A42" s="1" t="n"/>
      <c r="B42" s="91" t="n"/>
      <c r="C42" s="9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2.75" customHeight="1" s="85">
      <c r="A43" s="1" t="n"/>
      <c r="B43" s="91" t="n"/>
      <c r="C43" s="9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2.75" customHeight="1" s="85">
      <c r="A44" s="1" t="n"/>
      <c r="B44" s="91" t="n"/>
      <c r="C44" s="9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2.75" customHeight="1" s="85">
      <c r="A45" s="1" t="n"/>
      <c r="B45" s="91" t="n"/>
      <c r="C45" s="9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2.75" customHeight="1" s="8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2.75" customHeight="1" s="8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2.75" customHeight="1" s="8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2.75" customHeight="1" s="8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2.75" customHeight="1" s="8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2.75" customHeight="1" s="8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2.75" customHeight="1" s="8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2.75" customHeight="1" s="8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2.75" customHeight="1" s="8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2.75" customHeight="1" s="8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2.75" customHeight="1" s="8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2.75" customHeight="1" s="8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2.75" customHeight="1" s="8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2.75" customHeight="1" s="8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2.75" customHeight="1" s="8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2.75" customHeight="1" s="8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2.75" customHeight="1" s="8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2.75" customHeight="1" s="8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2.75" customHeight="1" s="8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2.75" customHeight="1" s="8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2.75" customHeight="1" s="8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2.75" customHeight="1" s="8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2.75" customHeight="1" s="8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2.75" customHeight="1" s="8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2.75" customHeight="1" s="8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2.75" customHeight="1" s="8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2.75" customHeight="1" s="8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2.75" customHeight="1" s="8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2.75" customHeight="1" s="8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2.75" customHeight="1" s="8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2.75" customHeight="1" s="8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2.75" customHeight="1" s="8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2.75" customHeight="1" s="8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.75" customHeight="1" s="8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.75" customHeight="1" s="8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.75" customHeight="1" s="8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8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.75" customHeight="1" s="8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.75" customHeight="1" s="8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8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8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8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8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8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8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8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8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8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8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8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8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8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8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8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8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8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8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8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8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8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8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8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8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8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8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8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8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8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8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8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8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8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8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8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8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8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8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8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8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8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8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8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8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8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8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8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8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8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8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8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8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8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8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8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8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8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8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8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8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8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8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8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8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8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8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8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8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8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8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8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8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8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8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8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8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8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8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8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8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8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8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8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8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8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8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8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8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8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8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8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8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8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8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8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8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8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8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8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8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8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8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8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8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8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8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8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8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8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8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8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8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8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8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8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8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8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8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8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8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8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8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8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8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8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8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8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8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8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8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8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8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8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8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8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8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8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8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8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8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B2:F2"/>
    <mergeCell ref="G2:H2"/>
    <mergeCell ref="B6:H6"/>
    <mergeCell ref="B14:H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75" customWidth="1" style="85" min="1" max="1"/>
    <col width="9.130000000000001" customWidth="1" style="85" min="2" max="2"/>
    <col width="7.25" customWidth="1" style="85" min="3" max="3"/>
    <col width="17.75" customWidth="1" style="85" min="4" max="4"/>
    <col width="19.38" customWidth="1" style="85" min="5" max="5"/>
    <col width="17.38" customWidth="1" style="85" min="6" max="6"/>
    <col width="9.380000000000001" customWidth="1" style="85" min="7" max="7"/>
    <col width="11.38" customWidth="1" style="85" min="8" max="8"/>
    <col width="14.25" customWidth="1" style="85" min="9" max="10"/>
    <col width="6.63" customWidth="1" style="85" min="11" max="11"/>
    <col width="5.75" customWidth="1" style="85" min="12" max="12"/>
    <col width="4" customWidth="1" style="85" min="13" max="13"/>
    <col width="5.63" customWidth="1" style="85" min="14" max="14"/>
    <col width="11.38" customWidth="1" style="85" min="15" max="18"/>
    <col width="9.130000000000001" customWidth="1" style="85" min="19" max="22"/>
  </cols>
  <sheetData>
    <row r="1" ht="12.75" customHeight="1" s="85">
      <c r="B1" s="42" t="n"/>
    </row>
    <row r="2" ht="12.75" customHeight="1" s="85">
      <c r="A2" s="43" t="n"/>
      <c r="B2" s="44" t="inlineStr">
        <is>
          <t>Cálculo de ganho/perda de capital (se aplicável)</t>
        </is>
      </c>
      <c r="C2" s="86" t="n"/>
      <c r="D2" s="86" t="n"/>
      <c r="E2" s="86" t="n"/>
      <c r="F2" s="86" t="n"/>
      <c r="G2" s="86" t="n"/>
      <c r="H2" s="86" t="n"/>
      <c r="I2" s="86" t="n"/>
      <c r="J2" s="86" t="n"/>
      <c r="K2" s="90" t="inlineStr">
        <is>
          <t>quantity</t>
        </is>
      </c>
      <c r="L2" s="86" t="n"/>
      <c r="M2" s="86" t="n"/>
      <c r="N2" s="88" t="n"/>
      <c r="O2" s="48" t="inlineStr">
        <is>
          <t>amount_brl</t>
        </is>
      </c>
      <c r="P2" s="86" t="n"/>
      <c r="Q2" s="86" t="n"/>
      <c r="R2" s="88" t="n"/>
      <c r="S2" s="48" t="inlineStr">
        <is>
          <t>amount_usd</t>
        </is>
      </c>
      <c r="T2" s="86" t="n"/>
      <c r="U2" s="86" t="n"/>
      <c r="V2" s="88" t="n"/>
      <c r="W2" s="43" t="n"/>
      <c r="X2" s="43" t="n"/>
      <c r="Y2" s="43" t="n"/>
      <c r="Z2" s="43" t="n"/>
    </row>
    <row r="3" ht="12.75" customHeight="1" s="85">
      <c r="A3" s="43" t="n"/>
      <c r="B3" s="47" t="inlineStr">
        <is>
          <t>date</t>
        </is>
      </c>
      <c r="C3" s="7" t="inlineStr">
        <is>
          <t>event</t>
        </is>
      </c>
      <c r="D3" s="8" t="inlineStr">
        <is>
          <t>quantity_vested_sold</t>
        </is>
      </c>
      <c r="E3" s="8" t="inlineStr">
        <is>
          <t>vesting_sale_price_usd</t>
        </is>
      </c>
      <c r="F3" s="8" t="inlineStr">
        <is>
          <t>fx_rate_brl_usd</t>
        </is>
      </c>
      <c r="G3" s="8" t="inlineStr">
        <is>
          <t>share_value_brl</t>
        </is>
      </c>
      <c r="H3" s="8" t="inlineStr">
        <is>
          <t>total_value_brl</t>
        </is>
      </c>
      <c r="I3" s="8" t="inlineStr">
        <is>
          <t>avg_price_to_date_brl</t>
        </is>
      </c>
      <c r="J3" s="8" t="inlineStr">
        <is>
          <t>gain_loss_brl</t>
        </is>
      </c>
      <c r="K3" s="48" t="inlineStr">
        <is>
          <t>initial</t>
        </is>
      </c>
      <c r="L3" s="49" t="inlineStr">
        <is>
          <t>in</t>
        </is>
      </c>
      <c r="M3" s="49" t="inlineStr">
        <is>
          <t>out</t>
        </is>
      </c>
      <c r="N3" s="49" t="inlineStr">
        <is>
          <t>net</t>
        </is>
      </c>
      <c r="O3" s="48" t="inlineStr">
        <is>
          <t>initial</t>
        </is>
      </c>
      <c r="P3" s="49" t="inlineStr">
        <is>
          <t>in</t>
        </is>
      </c>
      <c r="Q3" s="49" t="inlineStr">
        <is>
          <t>out</t>
        </is>
      </c>
      <c r="R3" s="49" t="inlineStr">
        <is>
          <t>net</t>
        </is>
      </c>
      <c r="S3" s="48" t="inlineStr">
        <is>
          <t>initial</t>
        </is>
      </c>
      <c r="T3" s="49" t="inlineStr">
        <is>
          <t>in</t>
        </is>
      </c>
      <c r="U3" s="49" t="inlineStr">
        <is>
          <t>out</t>
        </is>
      </c>
      <c r="V3" s="49" t="inlineStr">
        <is>
          <t>net</t>
        </is>
      </c>
      <c r="W3" s="43" t="n"/>
      <c r="X3" s="43" t="n"/>
      <c r="Y3" s="43" t="n"/>
      <c r="Z3" s="43" t="n"/>
    </row>
    <row r="4" ht="12.75" customHeight="1" s="85">
      <c r="B4" s="50">
        <f>IFERROR(__xludf.DUMMYFUNCTION("SORT(FILTER(
  { input!B8:E11;
    input!B16:E25 },
  { input!E8:E11;
    input!E16:E25 } &lt;&gt; 0
))"),45660.0)</f>
        <v/>
      </c>
      <c r="C4" s="10">
        <f>IFERROR(__xludf.DUMMYFUNCTION("""COMPUTED_VALUE"""),"Vesting")</f>
        <v/>
      </c>
      <c r="D4" s="51" t="n"/>
      <c r="E4" s="52">
        <f>IFERROR(__xludf.DUMMYFUNCTION("""COMPUTED_VALUE"""),10.63)</f>
        <v/>
      </c>
      <c r="F4" s="53">
        <f>IFERROR(VLOOKUP(B4,aux_ptax_historical_data!$B:$E,4,0),"")</f>
        <v/>
      </c>
      <c r="G4" s="54">
        <f>IFERROR(E4*F4,"")</f>
        <v/>
      </c>
      <c r="H4" s="54">
        <f>IFERROR(G4*D4,"")</f>
        <v/>
      </c>
      <c r="I4" s="54">
        <f>IFERROR(O4/K4,0)</f>
        <v/>
      </c>
      <c r="J4" s="54">
        <f>IFERROR(IF(C4="Vesting",0,H4-Q4),0)</f>
        <v/>
      </c>
      <c r="K4" s="55">
        <f>input!$D$4</f>
        <v/>
      </c>
      <c r="L4" s="55">
        <f>IF(C4="Vesting",D4,0)</f>
        <v/>
      </c>
      <c r="M4" s="55">
        <f>IF(C4="Venda",D4,0)</f>
        <v/>
      </c>
      <c r="N4" s="55">
        <f>K4+L4-M4</f>
        <v/>
      </c>
      <c r="O4" s="54">
        <f>input!$F$4</f>
        <v/>
      </c>
      <c r="P4" s="54">
        <f>IF(C4="Vesting",H4,0)</f>
        <v/>
      </c>
      <c r="Q4" s="54">
        <f>IF(C4="Venda",O4*M4/K4,0)</f>
        <v/>
      </c>
      <c r="R4" s="54">
        <f>O4+P4-Q4</f>
        <v/>
      </c>
      <c r="S4" s="56">
        <f>input!$H$4</f>
        <v/>
      </c>
      <c r="T4" s="56">
        <f>IF(C4="Vesting",D4*E4,0)</f>
        <v/>
      </c>
      <c r="U4" s="56">
        <f>IF(C4="Venda",S4*M4/K4,0)</f>
        <v/>
      </c>
      <c r="V4" s="56">
        <f>S4+T4-U4</f>
        <v/>
      </c>
    </row>
    <row r="5" ht="12.75" customHeight="1" s="85">
      <c r="B5" s="50">
        <f>IFERROR(__xludf.DUMMYFUNCTION("""COMPUTED_VALUE"""),45748.0)</f>
        <v/>
      </c>
      <c r="C5" s="10">
        <f>IFERROR(__xludf.DUMMYFUNCTION("""COMPUTED_VALUE"""),"Vesting")</f>
        <v/>
      </c>
      <c r="D5" s="51" t="n"/>
      <c r="E5" s="52">
        <f>IFERROR(__xludf.DUMMYFUNCTION("""COMPUTED_VALUE"""),10.43)</f>
        <v/>
      </c>
      <c r="F5" s="53">
        <f>IFERROR(VLOOKUP(B5,aux_ptax_historical_data!$B:$E,4,0),"")</f>
        <v/>
      </c>
      <c r="G5" s="54">
        <f>IFERROR(E5*F5,"")</f>
        <v/>
      </c>
      <c r="H5" s="54">
        <f>IFERROR(G5*D5,"")</f>
        <v/>
      </c>
      <c r="I5" s="54">
        <f>IFERROR(O5/K5,0)</f>
        <v/>
      </c>
      <c r="J5" s="54">
        <f>IFERROR(IF(C5="Vesting",0,H5-Q5),0)</f>
        <v/>
      </c>
      <c r="K5" s="55">
        <f>K4+L4-M4</f>
        <v/>
      </c>
      <c r="L5" s="55">
        <f>IF(C5="Vesting",D5,0)</f>
        <v/>
      </c>
      <c r="M5" s="55">
        <f>IF(C5="Venda",D5,0)</f>
        <v/>
      </c>
      <c r="N5" s="55">
        <f>K5+L5-M5</f>
        <v/>
      </c>
      <c r="O5" s="54">
        <f>R4</f>
        <v/>
      </c>
      <c r="P5" s="54">
        <f>IF(C5="Vesting",H5,0)</f>
        <v/>
      </c>
      <c r="Q5" s="54">
        <f>IF(C5="Venda",O5*M5/K5,0)</f>
        <v/>
      </c>
      <c r="R5" s="54">
        <f>O5+P5-Q5</f>
        <v/>
      </c>
      <c r="S5" s="56">
        <f>V4</f>
        <v/>
      </c>
      <c r="T5" s="56">
        <f>IF(C5="Vesting",D5*E5,0)</f>
        <v/>
      </c>
      <c r="U5" s="56">
        <f>IF(C5="Venda",S5*M5/K5,0)</f>
        <v/>
      </c>
      <c r="V5" s="56">
        <f>S5+T5-U5</f>
        <v/>
      </c>
    </row>
    <row r="6" ht="12.75" customHeight="1" s="85">
      <c r="B6" s="50">
        <f>IFERROR(__xludf.DUMMYFUNCTION("""COMPUTED_VALUE"""),45839.0)</f>
        <v/>
      </c>
      <c r="C6" s="10">
        <f>IFERROR(__xludf.DUMMYFUNCTION("""COMPUTED_VALUE"""),"Vesting")</f>
        <v/>
      </c>
      <c r="D6" s="51" t="n"/>
      <c r="E6" s="52">
        <f>IFERROR(__xludf.DUMMYFUNCTION("""COMPUTED_VALUE"""),13.64)</f>
        <v/>
      </c>
      <c r="F6" s="53">
        <f>IFERROR(VLOOKUP(B6,aux_ptax_historical_data!$B:$E,4,0),"")</f>
        <v/>
      </c>
      <c r="G6" s="54">
        <f>IFERROR(E6*F6,"")</f>
        <v/>
      </c>
      <c r="H6" s="54">
        <f>IFERROR(G6*D6,"")</f>
        <v/>
      </c>
      <c r="I6" s="54">
        <f>IFERROR(O6/K6,0)</f>
        <v/>
      </c>
      <c r="J6" s="54">
        <f>IFERROR(IF(C6="Vesting",0,H6-Q6),0)</f>
        <v/>
      </c>
      <c r="K6" s="55">
        <f>K5+L5-M5</f>
        <v/>
      </c>
      <c r="L6" s="55">
        <f>IF(C6="Vesting",D6,0)</f>
        <v/>
      </c>
      <c r="M6" s="55">
        <f>IF(C6="Venda",D6,0)</f>
        <v/>
      </c>
      <c r="N6" s="55">
        <f>K6+L6-M6</f>
        <v/>
      </c>
      <c r="O6" s="54">
        <f>R5</f>
        <v/>
      </c>
      <c r="P6" s="54">
        <f>IF(C6="Vesting",H6,0)</f>
        <v/>
      </c>
      <c r="Q6" s="54">
        <f>IF(C6="Venda",O6*M6/K6,0)</f>
        <v/>
      </c>
      <c r="R6" s="54">
        <f>O6+P6-Q6</f>
        <v/>
      </c>
      <c r="S6" s="56">
        <f>V5</f>
        <v/>
      </c>
      <c r="T6" s="56">
        <f>IF(C6="Vesting",D6*E6,0)</f>
        <v/>
      </c>
      <c r="U6" s="56">
        <f>IF(C6="Venda",S6*M6/K6,0)</f>
        <v/>
      </c>
      <c r="V6" s="56">
        <f>S6+T6-U6</f>
        <v/>
      </c>
    </row>
    <row r="7" ht="12.75" customHeight="1" s="85">
      <c r="B7" s="50">
        <f>IFERROR(__xludf.DUMMYFUNCTION("""COMPUTED_VALUE"""),45931.0)</f>
        <v/>
      </c>
      <c r="C7" s="10">
        <f>IFERROR(__xludf.DUMMYFUNCTION("""COMPUTED_VALUE"""),"Vesting")</f>
        <v/>
      </c>
      <c r="D7" s="51" t="n"/>
      <c r="E7" s="52">
        <f>IFERROR(__xludf.DUMMYFUNCTION("""COMPUTED_VALUE"""),15.19)</f>
        <v/>
      </c>
      <c r="F7" s="53">
        <f>IFERROR(VLOOKUP(B7,aux_ptax_historical_data!$B:$E,4,0),"")</f>
        <v/>
      </c>
      <c r="G7" s="54">
        <f>IFERROR(E7*F7,"")</f>
        <v/>
      </c>
      <c r="H7" s="54">
        <f>IFERROR(G7*D7,"")</f>
        <v/>
      </c>
      <c r="I7" s="54">
        <f>IFERROR(O7/K7,0)</f>
        <v/>
      </c>
      <c r="J7" s="54">
        <f>IFERROR(IF(C7="Vesting",0,H7-Q7),0)</f>
        <v/>
      </c>
      <c r="K7" s="55">
        <f>K6+L6-M6</f>
        <v/>
      </c>
      <c r="L7" s="55">
        <f>IF(C7="Vesting",D7,0)</f>
        <v/>
      </c>
      <c r="M7" s="55">
        <f>IF(C7="Venda",D7,0)</f>
        <v/>
      </c>
      <c r="N7" s="55">
        <f>K7+L7-M7</f>
        <v/>
      </c>
      <c r="O7" s="54">
        <f>R6</f>
        <v/>
      </c>
      <c r="P7" s="54">
        <f>IF(C7="Vesting",H7,0)</f>
        <v/>
      </c>
      <c r="Q7" s="54">
        <f>IF(C7="Venda",O7*M7/K7,0)</f>
        <v/>
      </c>
      <c r="R7" s="54">
        <f>O7+P7-Q7</f>
        <v/>
      </c>
      <c r="S7" s="56">
        <f>V6</f>
        <v/>
      </c>
      <c r="T7" s="56">
        <f>IF(C7="Vesting",D7*E7,0)</f>
        <v/>
      </c>
      <c r="U7" s="56">
        <f>IF(C7="Venda",S7*M7/K7,0)</f>
        <v/>
      </c>
      <c r="V7" s="56">
        <f>S7+T7-U7</f>
        <v/>
      </c>
    </row>
    <row r="8" ht="12.75" customHeight="1" s="85">
      <c r="B8" s="50" t="n"/>
      <c r="C8" s="10" t="n"/>
      <c r="D8" s="51" t="n"/>
      <c r="E8" s="52" t="n"/>
      <c r="F8" s="53">
        <f>IFERROR(VLOOKUP(B8,aux_ptax_historical_data!$B:$E,4,0),"")</f>
        <v/>
      </c>
      <c r="G8" s="54">
        <f>IFERROR(E8*F8,"")</f>
        <v/>
      </c>
      <c r="H8" s="54">
        <f>IFERROR(G8*D8,"")</f>
        <v/>
      </c>
      <c r="I8" s="54">
        <f>IFERROR(O8/K8,0)</f>
        <v/>
      </c>
      <c r="J8" s="54">
        <f>IFERROR(IF(C8="Vesting",0,H8-Q8),0)</f>
        <v/>
      </c>
      <c r="K8" s="55">
        <f>K7+L7-M7</f>
        <v/>
      </c>
      <c r="L8" s="55">
        <f>IF(C8="Vesting",D8,0)</f>
        <v/>
      </c>
      <c r="M8" s="55">
        <f>IF(C8="Venda",D8,0)</f>
        <v/>
      </c>
      <c r="N8" s="55">
        <f>K8+L8-M8</f>
        <v/>
      </c>
      <c r="O8" s="54">
        <f>R7</f>
        <v/>
      </c>
      <c r="P8" s="54">
        <f>IF(C8="Vesting",H8,0)</f>
        <v/>
      </c>
      <c r="Q8" s="54">
        <f>IF(C8="Venda",O8*M8/K8,0)</f>
        <v/>
      </c>
      <c r="R8" s="54">
        <f>O8+P8-Q8</f>
        <v/>
      </c>
      <c r="S8" s="56">
        <f>V7</f>
        <v/>
      </c>
      <c r="T8" s="56">
        <f>IF(C8="Vesting",D8*E8,0)</f>
        <v/>
      </c>
      <c r="U8" s="56">
        <f>IF(C8="Venda",S8*M8/K8,0)</f>
        <v/>
      </c>
      <c r="V8" s="56">
        <f>S8+T8-U8</f>
        <v/>
      </c>
    </row>
    <row r="9" ht="12.75" customHeight="1" s="85">
      <c r="B9" s="50" t="n"/>
      <c r="C9" s="10" t="n"/>
      <c r="D9" s="51" t="n"/>
      <c r="E9" s="52" t="n"/>
      <c r="F9" s="53">
        <f>IFERROR(VLOOKUP(B9,aux_ptax_historical_data!$B:$E,4,0),"")</f>
        <v/>
      </c>
      <c r="G9" s="54">
        <f>IFERROR(E9*F9,"")</f>
        <v/>
      </c>
      <c r="H9" s="54">
        <f>IFERROR(G9*D9,"")</f>
        <v/>
      </c>
      <c r="I9" s="54">
        <f>IFERROR(O9/K9,0)</f>
        <v/>
      </c>
      <c r="J9" s="54">
        <f>IFERROR(IF(C9="Vesting",0,H9-Q9),0)</f>
        <v/>
      </c>
      <c r="K9" s="55">
        <f>K8+L8-M8</f>
        <v/>
      </c>
      <c r="L9" s="55">
        <f>IF(C9="Vesting",D9,0)</f>
        <v/>
      </c>
      <c r="M9" s="55">
        <f>IF(C9="Venda",D9,0)</f>
        <v/>
      </c>
      <c r="N9" s="55">
        <f>K9+L9-M9</f>
        <v/>
      </c>
      <c r="O9" s="54">
        <f>R8</f>
        <v/>
      </c>
      <c r="P9" s="54">
        <f>IF(C9="Vesting",H9,0)</f>
        <v/>
      </c>
      <c r="Q9" s="54">
        <f>IF(C9="Venda",O9*M9/K9,0)</f>
        <v/>
      </c>
      <c r="R9" s="54">
        <f>O9+P9-Q9</f>
        <v/>
      </c>
      <c r="S9" s="56">
        <f>V8</f>
        <v/>
      </c>
      <c r="T9" s="56">
        <f>IF(C9="Vesting",D9*E9,0)</f>
        <v/>
      </c>
      <c r="U9" s="56">
        <f>IF(C9="Venda",S9*M9/K9,0)</f>
        <v/>
      </c>
      <c r="V9" s="56">
        <f>S9+T9-U9</f>
        <v/>
      </c>
    </row>
    <row r="10" ht="12.75" customHeight="1" s="85">
      <c r="B10" s="50" t="n"/>
      <c r="C10" s="10" t="n"/>
      <c r="D10" s="51" t="n"/>
      <c r="E10" s="52" t="n"/>
      <c r="F10" s="53">
        <f>IFERROR(VLOOKUP(B10,aux_ptax_historical_data!$B:$E,4,0),"")</f>
        <v/>
      </c>
      <c r="G10" s="54">
        <f>IFERROR(E10*F10,"")</f>
        <v/>
      </c>
      <c r="H10" s="54">
        <f>IFERROR(G10*D10,"")</f>
        <v/>
      </c>
      <c r="I10" s="54">
        <f>IFERROR(O10/K10,0)</f>
        <v/>
      </c>
      <c r="J10" s="54">
        <f>IFERROR(IF(C10="Vesting",0,H10-Q10),0)</f>
        <v/>
      </c>
      <c r="K10" s="55">
        <f>K9+L9-M9</f>
        <v/>
      </c>
      <c r="L10" s="55">
        <f>IF(C10="Vesting",D10,0)</f>
        <v/>
      </c>
      <c r="M10" s="55">
        <f>IF(C10="Venda",D10,0)</f>
        <v/>
      </c>
      <c r="N10" s="55">
        <f>K10+L10-M10</f>
        <v/>
      </c>
      <c r="O10" s="54">
        <f>R9</f>
        <v/>
      </c>
      <c r="P10" s="54">
        <f>IF(C10="Vesting",H10,0)</f>
        <v/>
      </c>
      <c r="Q10" s="54">
        <f>IF(C10="Venda",O10*M10/K10,0)</f>
        <v/>
      </c>
      <c r="R10" s="54">
        <f>O10+P10-Q10</f>
        <v/>
      </c>
      <c r="S10" s="56">
        <f>V9</f>
        <v/>
      </c>
      <c r="T10" s="56">
        <f>IF(C10="Vesting",D10*E10,0)</f>
        <v/>
      </c>
      <c r="U10" s="56">
        <f>IF(C10="Venda",S10*M10/K10,0)</f>
        <v/>
      </c>
      <c r="V10" s="56">
        <f>S10+T10-U10</f>
        <v/>
      </c>
    </row>
    <row r="11" ht="12.75" customHeight="1" s="85">
      <c r="B11" s="50" t="n"/>
      <c r="C11" s="10" t="n"/>
      <c r="D11" s="51" t="n"/>
      <c r="E11" s="52" t="n"/>
      <c r="F11" s="53">
        <f>IFERROR(VLOOKUP(B11,aux_ptax_historical_data!$B:$E,4,0),"")</f>
        <v/>
      </c>
      <c r="G11" s="54">
        <f>IFERROR(E11*F11,"")</f>
        <v/>
      </c>
      <c r="H11" s="54">
        <f>IFERROR(G11*D11,"")</f>
        <v/>
      </c>
      <c r="I11" s="54">
        <f>IFERROR(O11/K11,0)</f>
        <v/>
      </c>
      <c r="J11" s="54">
        <f>IFERROR(IF(C11="Vesting",0,H11-Q11),0)</f>
        <v/>
      </c>
      <c r="K11" s="55">
        <f>K10+L10-M10</f>
        <v/>
      </c>
      <c r="L11" s="55">
        <f>IF(C11="Vesting",D11,0)</f>
        <v/>
      </c>
      <c r="M11" s="55">
        <f>IF(C11="Venda",D11,0)</f>
        <v/>
      </c>
      <c r="N11" s="55">
        <f>K11+L11-M11</f>
        <v/>
      </c>
      <c r="O11" s="54">
        <f>R10</f>
        <v/>
      </c>
      <c r="P11" s="54">
        <f>IF(C11="Vesting",H11,0)</f>
        <v/>
      </c>
      <c r="Q11" s="54">
        <f>IF(C11="Venda",O11*M11/K11,0)</f>
        <v/>
      </c>
      <c r="R11" s="54">
        <f>O11+P11-Q11</f>
        <v/>
      </c>
      <c r="S11" s="56">
        <f>V10</f>
        <v/>
      </c>
      <c r="T11" s="56">
        <f>IF(C11="Vesting",D11*E11,0)</f>
        <v/>
      </c>
      <c r="U11" s="56">
        <f>IF(C11="Venda",S11*M11/K11,0)</f>
        <v/>
      </c>
      <c r="V11" s="56">
        <f>S11+T11-U11</f>
        <v/>
      </c>
    </row>
    <row r="12" ht="12.75" customHeight="1" s="85">
      <c r="B12" s="50" t="n"/>
      <c r="C12" s="10" t="n"/>
      <c r="D12" s="51" t="n"/>
      <c r="E12" s="52" t="n"/>
      <c r="F12" s="53">
        <f>IFERROR(VLOOKUP(B12,aux_ptax_historical_data!$B:$E,4,0),"")</f>
        <v/>
      </c>
      <c r="G12" s="54">
        <f>IFERROR(E12*F12,"")</f>
        <v/>
      </c>
      <c r="H12" s="54">
        <f>IFERROR(G12*D12,"")</f>
        <v/>
      </c>
      <c r="I12" s="54">
        <f>IFERROR(O12/K12,0)</f>
        <v/>
      </c>
      <c r="J12" s="54">
        <f>IFERROR(IF(C12="Vesting",0,H12-Q12),0)</f>
        <v/>
      </c>
      <c r="K12" s="55">
        <f>K11+L11-M11</f>
        <v/>
      </c>
      <c r="L12" s="55">
        <f>IF(C12="Vesting",D12,0)</f>
        <v/>
      </c>
      <c r="M12" s="55">
        <f>IF(C12="Venda",D12,0)</f>
        <v/>
      </c>
      <c r="N12" s="55">
        <f>K12+L12-M12</f>
        <v/>
      </c>
      <c r="O12" s="54">
        <f>R11</f>
        <v/>
      </c>
      <c r="P12" s="54">
        <f>IF(C12="Vesting",H12,0)</f>
        <v/>
      </c>
      <c r="Q12" s="54">
        <f>IF(C12="Venda",O12*M12/K12,0)</f>
        <v/>
      </c>
      <c r="R12" s="54">
        <f>O12+P12-Q12</f>
        <v/>
      </c>
      <c r="S12" s="56">
        <f>V11</f>
        <v/>
      </c>
      <c r="T12" s="56">
        <f>IF(C12="Vesting",D12*E12,0)</f>
        <v/>
      </c>
      <c r="U12" s="56">
        <f>IF(C12="Venda",S12*M12/K12,0)</f>
        <v/>
      </c>
      <c r="V12" s="56">
        <f>S12+T12-U12</f>
        <v/>
      </c>
    </row>
    <row r="13" ht="12.75" customHeight="1" s="85">
      <c r="B13" s="50" t="n"/>
      <c r="C13" s="10" t="n"/>
      <c r="D13" s="51" t="n"/>
      <c r="E13" s="52" t="n"/>
      <c r="F13" s="53">
        <f>IFERROR(VLOOKUP(B13,aux_ptax_historical_data!$B:$E,4,0),"")</f>
        <v/>
      </c>
      <c r="G13" s="54">
        <f>IFERROR(E13*F13,"")</f>
        <v/>
      </c>
      <c r="H13" s="54">
        <f>IFERROR(G13*D13,"")</f>
        <v/>
      </c>
      <c r="I13" s="54">
        <f>IFERROR(O13/K13,0)</f>
        <v/>
      </c>
      <c r="J13" s="54">
        <f>IFERROR(IF(C13="Vesting",0,H13-Q13),0)</f>
        <v/>
      </c>
      <c r="K13" s="55">
        <f>K12+L12-M12</f>
        <v/>
      </c>
      <c r="L13" s="55">
        <f>IF(C13="Vesting",D13,0)</f>
        <v/>
      </c>
      <c r="M13" s="55">
        <f>IF(C13="Venda",D13,0)</f>
        <v/>
      </c>
      <c r="N13" s="55">
        <f>K13+L13-M13</f>
        <v/>
      </c>
      <c r="O13" s="54">
        <f>R12</f>
        <v/>
      </c>
      <c r="P13" s="54">
        <f>IF(C13="Vesting",H13,0)</f>
        <v/>
      </c>
      <c r="Q13" s="54">
        <f>IF(C13="Venda",O13*M13/K13,0)</f>
        <v/>
      </c>
      <c r="R13" s="54">
        <f>O13+P13-Q13</f>
        <v/>
      </c>
      <c r="S13" s="56">
        <f>V12</f>
        <v/>
      </c>
      <c r="T13" s="56">
        <f>IF(C13="Vesting",D13*E13,0)</f>
        <v/>
      </c>
      <c r="U13" s="56">
        <f>IF(C13="Venda",S13*M13/K13,0)</f>
        <v/>
      </c>
      <c r="V13" s="56">
        <f>S13+T13-U13</f>
        <v/>
      </c>
    </row>
    <row r="14" ht="12.75" customHeight="1" s="85">
      <c r="B14" s="50" t="n"/>
      <c r="C14" s="10" t="n"/>
      <c r="D14" s="51" t="n"/>
      <c r="E14" s="52" t="n"/>
      <c r="F14" s="53">
        <f>IFERROR(VLOOKUP(B14,aux_ptax_historical_data!$B:$E,4,0),"")</f>
        <v/>
      </c>
      <c r="G14" s="54">
        <f>IFERROR(E14*F14,"")</f>
        <v/>
      </c>
      <c r="H14" s="54">
        <f>IFERROR(G14*D14,"")</f>
        <v/>
      </c>
      <c r="I14" s="54">
        <f>IFERROR(O14/K14,0)</f>
        <v/>
      </c>
      <c r="J14" s="54">
        <f>IFERROR(IF(C14="Vesting",0,H14-Q14),0)</f>
        <v/>
      </c>
      <c r="K14" s="55">
        <f>K13+L13-M13</f>
        <v/>
      </c>
      <c r="L14" s="55">
        <f>IF(C14="Vesting",D14,0)</f>
        <v/>
      </c>
      <c r="M14" s="55">
        <f>IF(C14="Venda",D14,0)</f>
        <v/>
      </c>
      <c r="N14" s="55">
        <f>K14+L14-M14</f>
        <v/>
      </c>
      <c r="O14" s="54">
        <f>R13</f>
        <v/>
      </c>
      <c r="P14" s="54">
        <f>IF(C14="Vesting",H14,0)</f>
        <v/>
      </c>
      <c r="Q14" s="54">
        <f>IF(C14="Venda",O14*M14/K14,0)</f>
        <v/>
      </c>
      <c r="R14" s="54">
        <f>O14+P14-Q14</f>
        <v/>
      </c>
      <c r="S14" s="56">
        <f>V13</f>
        <v/>
      </c>
      <c r="T14" s="56">
        <f>IF(C14="Vesting",D14*E14,0)</f>
        <v/>
      </c>
      <c r="U14" s="56">
        <f>IF(C14="Venda",S14*M14/K14,0)</f>
        <v/>
      </c>
      <c r="V14" s="56">
        <f>S14+T14-U14</f>
        <v/>
      </c>
    </row>
    <row r="15" ht="12.75" customHeight="1" s="85">
      <c r="B15" s="57" t="n"/>
      <c r="C15" s="58" t="inlineStr"/>
      <c r="D15" s="59" t="n"/>
      <c r="E15" s="60" t="n"/>
      <c r="F15" s="61">
        <f>IFERROR(VLOOKUP(B15,aux_ptax_historical_data!$B:$E,4,0),"")</f>
        <v/>
      </c>
      <c r="G15" s="54">
        <f>IFERROR(E15*F15,"")</f>
        <v/>
      </c>
      <c r="H15" s="54">
        <f>IFERROR(G15*D15,"")</f>
        <v/>
      </c>
      <c r="I15" s="54">
        <f>IFERROR(O15/K15,0)</f>
        <v/>
      </c>
      <c r="J15" s="54">
        <f>IFERROR(IF(C15="Vesting",0,H15-Q15),0)</f>
        <v/>
      </c>
      <c r="K15" s="55">
        <f>K14+L14-M14</f>
        <v/>
      </c>
      <c r="L15" s="55">
        <f>IF(C15="Vesting",D15,0)</f>
        <v/>
      </c>
      <c r="M15" s="55">
        <f>IF(C15="Venda",D15,0)</f>
        <v/>
      </c>
      <c r="N15" s="55">
        <f>K15+L15-M15</f>
        <v/>
      </c>
      <c r="O15" s="54">
        <f>R14</f>
        <v/>
      </c>
      <c r="P15" s="54">
        <f>IF(C15="Vesting",H15,0)</f>
        <v/>
      </c>
      <c r="Q15" s="54">
        <f>IF(C15="Venda",O15*M15/K15,0)</f>
        <v/>
      </c>
      <c r="R15" s="54">
        <f>O15+P15-Q15</f>
        <v/>
      </c>
      <c r="S15" s="56">
        <f>V14</f>
        <v/>
      </c>
      <c r="T15" s="56">
        <f>IF(C15="Vesting",D15*E15,0)</f>
        <v/>
      </c>
      <c r="U15" s="56">
        <f>IF(C15="Venda",S15*M15/K15,0)</f>
        <v/>
      </c>
      <c r="V15" s="56">
        <f>S15+T15-U15</f>
        <v/>
      </c>
    </row>
    <row r="16" ht="12.75" customHeight="1" s="85">
      <c r="B16" s="57" t="n"/>
      <c r="C16" s="58" t="inlineStr"/>
      <c r="D16" s="59" t="n"/>
      <c r="E16" s="60" t="n"/>
      <c r="F16" s="61">
        <f>IFERROR(VLOOKUP(B16,aux_ptax_historical_data!$B:$E,4,0),"")</f>
        <v/>
      </c>
      <c r="G16" s="54">
        <f>IFERROR(E16*F16,"")</f>
        <v/>
      </c>
      <c r="H16" s="54">
        <f>IFERROR(G16*D16,"")</f>
        <v/>
      </c>
      <c r="I16" s="54">
        <f>IFERROR(O16/K16,0)</f>
        <v/>
      </c>
      <c r="J16" s="54">
        <f>IFERROR(IF(C16="Vesting",0,H16-Q16),0)</f>
        <v/>
      </c>
      <c r="K16" s="55">
        <f>K15+L15-M15</f>
        <v/>
      </c>
      <c r="L16" s="55">
        <f>IF(C16="Vesting",D16,0)</f>
        <v/>
      </c>
      <c r="M16" s="55">
        <f>IF(C16="Venda",D16,0)</f>
        <v/>
      </c>
      <c r="N16" s="55">
        <f>K16+L16-M16</f>
        <v/>
      </c>
      <c r="O16" s="54">
        <f>R15</f>
        <v/>
      </c>
      <c r="P16" s="54">
        <f>IF(C16="Vesting",H16,0)</f>
        <v/>
      </c>
      <c r="Q16" s="54">
        <f>IF(C16="Venda",O16*M16/K16,0)</f>
        <v/>
      </c>
      <c r="R16" s="54">
        <f>O16+P16-Q16</f>
        <v/>
      </c>
      <c r="S16" s="56">
        <f>V15</f>
        <v/>
      </c>
      <c r="T16" s="56">
        <f>IF(C16="Vesting",D16*E16,0)</f>
        <v/>
      </c>
      <c r="U16" s="56">
        <f>IF(C16="Venda",S16*M16/K16,0)</f>
        <v/>
      </c>
      <c r="V16" s="56">
        <f>S16+T16-U16</f>
        <v/>
      </c>
    </row>
    <row r="17" ht="12.75" customHeight="1" s="85">
      <c r="B17" s="57" t="n"/>
      <c r="C17" s="58" t="inlineStr"/>
      <c r="D17" s="59" t="n"/>
      <c r="E17" s="60" t="n"/>
      <c r="F17" s="61">
        <f>IFERROR(VLOOKUP(B17,aux_ptax_historical_data!$B:$E,4,0),"")</f>
        <v/>
      </c>
      <c r="G17" s="54">
        <f>IFERROR(E17*F17,"")</f>
        <v/>
      </c>
      <c r="H17" s="54">
        <f>IFERROR(G17*D17,"")</f>
        <v/>
      </c>
      <c r="I17" s="54">
        <f>IFERROR(O17/K17,0)</f>
        <v/>
      </c>
      <c r="J17" s="54">
        <f>IFERROR(IF(C17="Vesting",0,H17-Q17),0)</f>
        <v/>
      </c>
      <c r="K17" s="55">
        <f>K16+L16-M16</f>
        <v/>
      </c>
      <c r="L17" s="55">
        <f>IF(C17="Vesting",D17,0)</f>
        <v/>
      </c>
      <c r="M17" s="55">
        <f>IF(C17="Venda",D17,0)</f>
        <v/>
      </c>
      <c r="N17" s="55">
        <f>K17+L17-M17</f>
        <v/>
      </c>
      <c r="O17" s="54">
        <f>R16</f>
        <v/>
      </c>
      <c r="P17" s="54">
        <f>IF(C17="Vesting",H17,0)</f>
        <v/>
      </c>
      <c r="Q17" s="54">
        <f>IF(C17="Venda",O17*M17/K17,0)</f>
        <v/>
      </c>
      <c r="R17" s="54">
        <f>O17+P17-Q17</f>
        <v/>
      </c>
      <c r="S17" s="56">
        <f>V16</f>
        <v/>
      </c>
      <c r="T17" s="56">
        <f>IF(C17="Vesting",D17*E17,0)</f>
        <v/>
      </c>
      <c r="U17" s="56">
        <f>IF(C17="Venda",S17*M17/K17,0)</f>
        <v/>
      </c>
      <c r="V17" s="56">
        <f>S17+T17-U17</f>
        <v/>
      </c>
    </row>
    <row r="18" ht="12.75" customHeight="1" s="85">
      <c r="B18" s="42" t="n"/>
    </row>
    <row r="19" ht="12.75" customHeight="1" s="85">
      <c r="B19" s="42" t="n"/>
    </row>
    <row r="20" ht="12.75" customHeight="1" s="85">
      <c r="B20" s="42" t="n"/>
    </row>
    <row r="21" ht="12.75" customHeight="1" s="85">
      <c r="B21" s="42" t="n"/>
    </row>
    <row r="22" ht="12.75" customHeight="1" s="85">
      <c r="B22" s="42" t="n"/>
    </row>
    <row r="23" ht="12.75" customHeight="1" s="85">
      <c r="B23" s="42" t="n"/>
    </row>
    <row r="24" ht="12.75" customHeight="1" s="85">
      <c r="B24" s="42" t="n"/>
    </row>
    <row r="25" ht="12.75" customHeight="1" s="85">
      <c r="B25" s="42" t="n"/>
    </row>
    <row r="26" ht="12.75" customHeight="1" s="85">
      <c r="B26" s="42" t="n"/>
    </row>
    <row r="27" ht="12.75" customHeight="1" s="85">
      <c r="B27" s="42" t="n"/>
    </row>
    <row r="28" ht="12.75" customHeight="1" s="85">
      <c r="B28" s="42" t="n"/>
    </row>
    <row r="29" ht="12.75" customHeight="1" s="85">
      <c r="B29" s="42" t="n"/>
    </row>
    <row r="30" ht="12.75" customHeight="1" s="85">
      <c r="B30" s="42" t="n"/>
    </row>
    <row r="31" ht="12.75" customHeight="1" s="85">
      <c r="B31" s="42" t="n"/>
    </row>
    <row r="32" ht="12.75" customHeight="1" s="85">
      <c r="B32" s="42" t="n"/>
    </row>
    <row r="33" ht="12.75" customHeight="1" s="85">
      <c r="B33" s="42" t="n"/>
    </row>
    <row r="34" ht="12.75" customHeight="1" s="85">
      <c r="B34" s="42" t="n"/>
    </row>
    <row r="35" ht="12.75" customHeight="1" s="85">
      <c r="B35" s="42" t="n"/>
    </row>
    <row r="36" ht="12.75" customHeight="1" s="85">
      <c r="B36" s="42" t="n"/>
    </row>
    <row r="37" ht="12.75" customHeight="1" s="85">
      <c r="B37" s="42" t="n"/>
    </row>
    <row r="38" ht="12.75" customHeight="1" s="85">
      <c r="B38" s="42" t="n"/>
    </row>
    <row r="39" ht="12.75" customHeight="1" s="85">
      <c r="B39" s="42" t="n"/>
    </row>
    <row r="40" ht="12.75" customHeight="1" s="85">
      <c r="B40" s="42" t="n"/>
    </row>
    <row r="41" ht="12.75" customHeight="1" s="85">
      <c r="B41" s="42" t="n"/>
    </row>
    <row r="42" ht="12.75" customHeight="1" s="85">
      <c r="B42" s="42" t="n"/>
    </row>
    <row r="43" ht="12.75" customHeight="1" s="85">
      <c r="B43" s="42" t="n"/>
    </row>
    <row r="44" ht="12.75" customHeight="1" s="85">
      <c r="B44" s="42" t="n"/>
    </row>
    <row r="45" ht="12.75" customHeight="1" s="85">
      <c r="B45" s="42" t="n"/>
    </row>
    <row r="46" ht="12.75" customHeight="1" s="85">
      <c r="B46" s="42" t="n"/>
    </row>
    <row r="47" ht="12.75" customHeight="1" s="85">
      <c r="B47" s="42" t="n"/>
    </row>
    <row r="48" ht="12.75" customHeight="1" s="85">
      <c r="B48" s="42" t="n"/>
    </row>
    <row r="49" ht="12.75" customHeight="1" s="85">
      <c r="B49" s="42" t="n"/>
    </row>
    <row r="50" ht="12.75" customHeight="1" s="85">
      <c r="B50" s="42" t="n"/>
    </row>
    <row r="51" ht="12.75" customHeight="1" s="85">
      <c r="B51" s="42" t="n"/>
    </row>
    <row r="52" ht="12.75" customHeight="1" s="85">
      <c r="B52" s="42" t="n"/>
    </row>
    <row r="53" ht="12.75" customHeight="1" s="85">
      <c r="B53" s="42" t="n"/>
    </row>
    <row r="54" ht="12.75" customHeight="1" s="85">
      <c r="B54" s="42" t="n"/>
    </row>
    <row r="55" ht="12.75" customHeight="1" s="85">
      <c r="B55" s="42" t="n"/>
    </row>
    <row r="56" ht="12.75" customHeight="1" s="85">
      <c r="B56" s="42" t="n"/>
    </row>
    <row r="57" ht="12.75" customHeight="1" s="85">
      <c r="B57" s="42" t="n"/>
    </row>
    <row r="58" ht="12.75" customHeight="1" s="85">
      <c r="B58" s="42" t="n"/>
    </row>
    <row r="59" ht="12.75" customHeight="1" s="85">
      <c r="B59" s="42" t="n"/>
    </row>
    <row r="60" ht="12.75" customHeight="1" s="85">
      <c r="B60" s="42" t="n"/>
    </row>
    <row r="61" ht="12.75" customHeight="1" s="85">
      <c r="B61" s="42" t="n"/>
    </row>
    <row r="62" ht="12.75" customHeight="1" s="85">
      <c r="B62" s="42" t="n"/>
    </row>
    <row r="63" ht="12.75" customHeight="1" s="85">
      <c r="B63" s="42" t="n"/>
    </row>
    <row r="64" ht="12.75" customHeight="1" s="85">
      <c r="B64" s="42" t="n"/>
    </row>
    <row r="65" ht="12.75" customHeight="1" s="85">
      <c r="B65" s="42" t="n"/>
    </row>
    <row r="66" ht="12.75" customHeight="1" s="85">
      <c r="B66" s="42" t="n"/>
    </row>
    <row r="67" ht="12.75" customHeight="1" s="85">
      <c r="B67" s="42" t="n"/>
    </row>
    <row r="68" ht="12.75" customHeight="1" s="85">
      <c r="B68" s="42" t="n"/>
    </row>
    <row r="69" ht="12.75" customHeight="1" s="85">
      <c r="B69" s="42" t="n"/>
    </row>
    <row r="70" ht="12.75" customHeight="1" s="85">
      <c r="B70" s="42" t="n"/>
    </row>
    <row r="71" ht="12.75" customHeight="1" s="85">
      <c r="B71" s="42" t="n"/>
    </row>
    <row r="72" ht="12.75" customHeight="1" s="85">
      <c r="B72" s="42" t="n"/>
    </row>
    <row r="73" ht="12.75" customHeight="1" s="85">
      <c r="B73" s="42" t="n"/>
    </row>
    <row r="74" ht="12.75" customHeight="1" s="85">
      <c r="B74" s="42" t="n"/>
    </row>
    <row r="75" ht="12.75" customHeight="1" s="85">
      <c r="B75" s="42" t="n"/>
    </row>
    <row r="76" ht="12.75" customHeight="1" s="85">
      <c r="B76" s="42" t="n"/>
    </row>
    <row r="77" ht="12.75" customHeight="1" s="85">
      <c r="B77" s="42" t="n"/>
    </row>
    <row r="78" ht="12.75" customHeight="1" s="85">
      <c r="B78" s="42" t="n"/>
    </row>
    <row r="79" ht="12.75" customHeight="1" s="85">
      <c r="B79" s="42" t="n"/>
    </row>
    <row r="80" ht="12.75" customHeight="1" s="85">
      <c r="B80" s="42" t="n"/>
    </row>
    <row r="81" ht="12.75" customHeight="1" s="85">
      <c r="B81" s="42" t="n"/>
    </row>
    <row r="82" ht="12.75" customHeight="1" s="85">
      <c r="B82" s="42" t="n"/>
    </row>
    <row r="83" ht="12.75" customHeight="1" s="85">
      <c r="B83" s="42" t="n"/>
    </row>
    <row r="84" ht="12.75" customHeight="1" s="85">
      <c r="B84" s="42" t="n"/>
    </row>
    <row r="85" ht="12.75" customHeight="1" s="85">
      <c r="B85" s="42" t="n"/>
    </row>
    <row r="86" ht="12.75" customHeight="1" s="85">
      <c r="B86" s="42" t="n"/>
    </row>
    <row r="87" ht="12.75" customHeight="1" s="85">
      <c r="B87" s="42" t="n"/>
    </row>
    <row r="88" ht="12.75" customHeight="1" s="85">
      <c r="B88" s="42" t="n"/>
    </row>
    <row r="89" ht="12.75" customHeight="1" s="85">
      <c r="B89" s="42" t="n"/>
    </row>
    <row r="90" ht="12.75" customHeight="1" s="85">
      <c r="B90" s="42" t="n"/>
    </row>
    <row r="91" ht="12.75" customHeight="1" s="85">
      <c r="B91" s="42" t="n"/>
    </row>
    <row r="92" ht="12.75" customHeight="1" s="85">
      <c r="B92" s="42" t="n"/>
    </row>
    <row r="93" ht="12.75" customHeight="1" s="85">
      <c r="B93" s="42" t="n"/>
    </row>
    <row r="94" ht="12.75" customHeight="1" s="85">
      <c r="B94" s="42" t="n"/>
    </row>
    <row r="95" ht="12.75" customHeight="1" s="85">
      <c r="B95" s="42" t="n"/>
    </row>
    <row r="96" ht="12.75" customHeight="1" s="85">
      <c r="B96" s="42" t="n"/>
    </row>
    <row r="97" ht="12.75" customHeight="1" s="85">
      <c r="B97" s="42" t="n"/>
    </row>
    <row r="98" ht="12.75" customHeight="1" s="85">
      <c r="B98" s="42" t="n"/>
    </row>
    <row r="99" ht="12.75" customHeight="1" s="85">
      <c r="B99" s="42" t="n"/>
    </row>
    <row r="100" ht="12.75" customHeight="1" s="85">
      <c r="B100" s="42" t="n"/>
    </row>
    <row r="101" ht="12.75" customHeight="1" s="85">
      <c r="B101" s="42" t="n"/>
    </row>
    <row r="102" ht="12.75" customHeight="1" s="85">
      <c r="B102" s="42" t="n"/>
    </row>
    <row r="103" ht="12.75" customHeight="1" s="85">
      <c r="B103" s="42" t="n"/>
    </row>
    <row r="104" ht="12.75" customHeight="1" s="85">
      <c r="B104" s="42" t="n"/>
    </row>
    <row r="105" ht="12.75" customHeight="1" s="85">
      <c r="B105" s="42" t="n"/>
    </row>
    <row r="106" ht="12.75" customHeight="1" s="85">
      <c r="B106" s="42" t="n"/>
    </row>
    <row r="107" ht="12.75" customHeight="1" s="85">
      <c r="B107" s="42" t="n"/>
    </row>
    <row r="108" ht="12.75" customHeight="1" s="85">
      <c r="B108" s="42" t="n"/>
    </row>
    <row r="109" ht="12.75" customHeight="1" s="85">
      <c r="B109" s="42" t="n"/>
    </row>
    <row r="110" ht="12.75" customHeight="1" s="85">
      <c r="B110" s="42" t="n"/>
    </row>
    <row r="111" ht="12.75" customHeight="1" s="85">
      <c r="B111" s="42" t="n"/>
    </row>
    <row r="112" ht="12.75" customHeight="1" s="85">
      <c r="B112" s="42" t="n"/>
    </row>
    <row r="113" ht="12.75" customHeight="1" s="85">
      <c r="B113" s="42" t="n"/>
    </row>
    <row r="114" ht="12.75" customHeight="1" s="85">
      <c r="B114" s="42" t="n"/>
    </row>
    <row r="115" ht="12.75" customHeight="1" s="85">
      <c r="B115" s="42" t="n"/>
    </row>
    <row r="116" ht="12.75" customHeight="1" s="85">
      <c r="B116" s="42" t="n"/>
    </row>
    <row r="117" ht="12.75" customHeight="1" s="85">
      <c r="B117" s="42" t="n"/>
    </row>
    <row r="118" ht="12.75" customHeight="1" s="85">
      <c r="B118" s="42" t="n"/>
    </row>
    <row r="119" ht="12.75" customHeight="1" s="85">
      <c r="B119" s="42" t="n"/>
    </row>
    <row r="120" ht="12.75" customHeight="1" s="85">
      <c r="B120" s="42" t="n"/>
    </row>
    <row r="121" ht="12.75" customHeight="1" s="85">
      <c r="B121" s="42" t="n"/>
    </row>
    <row r="122" ht="12.75" customHeight="1" s="85">
      <c r="B122" s="42" t="n"/>
    </row>
    <row r="123" ht="12.75" customHeight="1" s="85">
      <c r="B123" s="42" t="n"/>
    </row>
    <row r="124" ht="12.75" customHeight="1" s="85">
      <c r="B124" s="42" t="n"/>
    </row>
    <row r="125" ht="12.75" customHeight="1" s="85">
      <c r="B125" s="42" t="n"/>
    </row>
    <row r="126" ht="12.75" customHeight="1" s="85">
      <c r="B126" s="42" t="n"/>
    </row>
    <row r="127" ht="12.75" customHeight="1" s="85">
      <c r="B127" s="42" t="n"/>
    </row>
    <row r="128" ht="12.75" customHeight="1" s="85">
      <c r="B128" s="42" t="n"/>
    </row>
    <row r="129" ht="12.75" customHeight="1" s="85">
      <c r="B129" s="42" t="n"/>
    </row>
    <row r="130" ht="12.75" customHeight="1" s="85">
      <c r="B130" s="42" t="n"/>
    </row>
    <row r="131" ht="12.75" customHeight="1" s="85">
      <c r="B131" s="42" t="n"/>
    </row>
    <row r="132" ht="12.75" customHeight="1" s="85">
      <c r="B132" s="42" t="n"/>
    </row>
    <row r="133" ht="12.75" customHeight="1" s="85">
      <c r="B133" s="42" t="n"/>
    </row>
    <row r="134" ht="12.75" customHeight="1" s="85">
      <c r="B134" s="42" t="n"/>
    </row>
    <row r="135" ht="12.75" customHeight="1" s="85">
      <c r="B135" s="42" t="n"/>
    </row>
    <row r="136" ht="12.75" customHeight="1" s="85">
      <c r="B136" s="42" t="n"/>
    </row>
    <row r="137" ht="12.75" customHeight="1" s="85">
      <c r="B137" s="42" t="n"/>
    </row>
    <row r="138" ht="12.75" customHeight="1" s="85">
      <c r="B138" s="42" t="n"/>
    </row>
    <row r="139" ht="12.75" customHeight="1" s="85">
      <c r="B139" s="42" t="n"/>
    </row>
    <row r="140" ht="12.75" customHeight="1" s="85">
      <c r="B140" s="42" t="n"/>
    </row>
    <row r="141" ht="12.75" customHeight="1" s="85">
      <c r="B141" s="42" t="n"/>
    </row>
    <row r="142" ht="12.75" customHeight="1" s="85">
      <c r="B142" s="42" t="n"/>
    </row>
    <row r="143" ht="12.75" customHeight="1" s="85">
      <c r="B143" s="42" t="n"/>
    </row>
    <row r="144" ht="12.75" customHeight="1" s="85">
      <c r="B144" s="42" t="n"/>
    </row>
    <row r="145" ht="12.75" customHeight="1" s="85">
      <c r="B145" s="42" t="n"/>
    </row>
    <row r="146" ht="12.75" customHeight="1" s="85">
      <c r="B146" s="42" t="n"/>
    </row>
    <row r="147" ht="12.75" customHeight="1" s="85">
      <c r="B147" s="42" t="n"/>
    </row>
    <row r="148" ht="12.75" customHeight="1" s="85">
      <c r="B148" s="42" t="n"/>
    </row>
    <row r="149" ht="12.75" customHeight="1" s="85">
      <c r="B149" s="42" t="n"/>
    </row>
    <row r="150" ht="12.75" customHeight="1" s="85">
      <c r="B150" s="42" t="n"/>
    </row>
    <row r="151" ht="12.75" customHeight="1" s="85">
      <c r="B151" s="42" t="n"/>
    </row>
    <row r="152" ht="12.75" customHeight="1" s="85">
      <c r="B152" s="42" t="n"/>
    </row>
    <row r="153" ht="12.75" customHeight="1" s="85">
      <c r="B153" s="42" t="n"/>
    </row>
    <row r="154" ht="12.75" customHeight="1" s="85">
      <c r="B154" s="42" t="n"/>
    </row>
    <row r="155" ht="12.75" customHeight="1" s="85">
      <c r="B155" s="42" t="n"/>
    </row>
    <row r="156" ht="12.75" customHeight="1" s="85">
      <c r="B156" s="42" t="n"/>
    </row>
    <row r="157" ht="12.75" customHeight="1" s="85">
      <c r="B157" s="42" t="n"/>
    </row>
    <row r="158" ht="12.75" customHeight="1" s="85">
      <c r="B158" s="42" t="n"/>
    </row>
    <row r="159" ht="12.75" customHeight="1" s="85">
      <c r="B159" s="42" t="n"/>
    </row>
    <row r="160" ht="12.75" customHeight="1" s="85">
      <c r="B160" s="42" t="n"/>
    </row>
    <row r="161" ht="12.75" customHeight="1" s="85">
      <c r="B161" s="42" t="n"/>
    </row>
    <row r="162" ht="12.75" customHeight="1" s="85">
      <c r="B162" s="42" t="n"/>
    </row>
    <row r="163" ht="12.75" customHeight="1" s="85">
      <c r="B163" s="42" t="n"/>
    </row>
    <row r="164" ht="12.75" customHeight="1" s="85">
      <c r="B164" s="42" t="n"/>
    </row>
    <row r="165" ht="12.75" customHeight="1" s="85">
      <c r="B165" s="42" t="n"/>
    </row>
    <row r="166" ht="12.75" customHeight="1" s="85">
      <c r="B166" s="42" t="n"/>
    </row>
    <row r="167" ht="12.75" customHeight="1" s="85">
      <c r="B167" s="42" t="n"/>
    </row>
    <row r="168" ht="12.75" customHeight="1" s="85">
      <c r="B168" s="42" t="n"/>
    </row>
    <row r="169" ht="12.75" customHeight="1" s="85">
      <c r="B169" s="42" t="n"/>
    </row>
    <row r="170" ht="12.75" customHeight="1" s="85">
      <c r="B170" s="42" t="n"/>
    </row>
    <row r="171" ht="12.75" customHeight="1" s="85">
      <c r="B171" s="42" t="n"/>
    </row>
    <row r="172" ht="12.75" customHeight="1" s="85">
      <c r="B172" s="42" t="n"/>
    </row>
    <row r="173" ht="12.75" customHeight="1" s="85">
      <c r="B173" s="42" t="n"/>
    </row>
    <row r="174" ht="12.75" customHeight="1" s="85">
      <c r="B174" s="42" t="n"/>
    </row>
    <row r="175" ht="12.75" customHeight="1" s="85">
      <c r="B175" s="42" t="n"/>
    </row>
    <row r="176" ht="12.75" customHeight="1" s="85">
      <c r="B176" s="42" t="n"/>
    </row>
    <row r="177" ht="12.75" customHeight="1" s="85">
      <c r="B177" s="42" t="n"/>
    </row>
    <row r="178" ht="12.75" customHeight="1" s="85">
      <c r="B178" s="42" t="n"/>
    </row>
    <row r="179" ht="12.75" customHeight="1" s="85">
      <c r="B179" s="42" t="n"/>
    </row>
    <row r="180" ht="12.75" customHeight="1" s="85">
      <c r="B180" s="42" t="n"/>
    </row>
    <row r="181" ht="12.75" customHeight="1" s="85">
      <c r="B181" s="42" t="n"/>
    </row>
    <row r="182" ht="12.75" customHeight="1" s="85">
      <c r="B182" s="42" t="n"/>
    </row>
    <row r="183" ht="12.75" customHeight="1" s="85">
      <c r="B183" s="42" t="n"/>
    </row>
    <row r="184" ht="12.75" customHeight="1" s="85">
      <c r="B184" s="42" t="n"/>
    </row>
    <row r="185" ht="12.75" customHeight="1" s="85">
      <c r="B185" s="42" t="n"/>
    </row>
    <row r="186" ht="12.75" customHeight="1" s="85">
      <c r="B186" s="42" t="n"/>
    </row>
    <row r="187" ht="12.75" customHeight="1" s="85">
      <c r="B187" s="42" t="n"/>
    </row>
    <row r="188" ht="12.75" customHeight="1" s="85">
      <c r="B188" s="42" t="n"/>
    </row>
    <row r="189" ht="12.75" customHeight="1" s="85">
      <c r="B189" s="42" t="n"/>
    </row>
    <row r="190" ht="12.75" customHeight="1" s="85">
      <c r="B190" s="42" t="n"/>
    </row>
    <row r="191" ht="12.75" customHeight="1" s="85">
      <c r="B191" s="42" t="n"/>
    </row>
    <row r="192" ht="12.75" customHeight="1" s="85">
      <c r="B192" s="42" t="n"/>
    </row>
    <row r="193" ht="12.75" customHeight="1" s="85">
      <c r="B193" s="42" t="n"/>
    </row>
    <row r="194" ht="12.75" customHeight="1" s="85">
      <c r="B194" s="42" t="n"/>
    </row>
    <row r="195" ht="12.75" customHeight="1" s="85">
      <c r="B195" s="42" t="n"/>
    </row>
    <row r="196" ht="12.75" customHeight="1" s="85">
      <c r="B196" s="42" t="n"/>
    </row>
    <row r="197" ht="12.75" customHeight="1" s="85">
      <c r="B197" s="42" t="n"/>
    </row>
    <row r="198" ht="12.75" customHeight="1" s="85">
      <c r="B198" s="42" t="n"/>
    </row>
    <row r="199" ht="12.75" customHeight="1" s="85">
      <c r="B199" s="42" t="n"/>
    </row>
    <row r="200" ht="12.75" customHeight="1" s="85">
      <c r="B200" s="42" t="n"/>
    </row>
    <row r="201" ht="12.75" customHeight="1" s="85">
      <c r="B201" s="42" t="n"/>
    </row>
    <row r="202" ht="12.75" customHeight="1" s="85">
      <c r="B202" s="42" t="n"/>
    </row>
    <row r="203" ht="12.75" customHeight="1" s="85">
      <c r="B203" s="42" t="n"/>
    </row>
    <row r="204" ht="12.75" customHeight="1" s="85">
      <c r="B204" s="42" t="n"/>
    </row>
    <row r="205" ht="12.75" customHeight="1" s="85">
      <c r="B205" s="42" t="n"/>
    </row>
    <row r="206" ht="12.75" customHeight="1" s="85">
      <c r="B206" s="42" t="n"/>
    </row>
    <row r="207" ht="12.75" customHeight="1" s="85">
      <c r="B207" s="42" t="n"/>
    </row>
    <row r="208" ht="12.75" customHeight="1" s="85">
      <c r="B208" s="42" t="n"/>
    </row>
    <row r="209" ht="12.75" customHeight="1" s="85">
      <c r="B209" s="42" t="n"/>
    </row>
    <row r="210" ht="12.75" customHeight="1" s="85">
      <c r="B210" s="42" t="n"/>
    </row>
    <row r="211" ht="12.75" customHeight="1" s="85">
      <c r="B211" s="42" t="n"/>
    </row>
    <row r="212" ht="12.75" customHeight="1" s="85">
      <c r="B212" s="42" t="n"/>
    </row>
    <row r="213" ht="12.75" customHeight="1" s="85">
      <c r="B213" s="42" t="n"/>
    </row>
    <row r="214" ht="12.75" customHeight="1" s="85">
      <c r="B214" s="42" t="n"/>
    </row>
    <row r="215" ht="12.75" customHeight="1" s="85">
      <c r="B215" s="42" t="n"/>
    </row>
    <row r="216" ht="12.75" customHeight="1" s="85">
      <c r="B216" s="42" t="n"/>
    </row>
    <row r="217" ht="12.75" customHeight="1" s="85">
      <c r="B217" s="42" t="n"/>
    </row>
    <row r="218" ht="12.75" customHeight="1" s="85">
      <c r="B218" s="42" t="n"/>
    </row>
    <row r="219" ht="12.75" customHeight="1" s="85">
      <c r="B219" s="42" t="n"/>
    </row>
    <row r="220" ht="12.75" customHeight="1" s="85">
      <c r="B220" s="42" t="n"/>
    </row>
    <row r="221" ht="15.75" customHeight="1" s="85">
      <c r="B221" s="42" t="n"/>
    </row>
    <row r="222" ht="15.75" customHeight="1" s="85">
      <c r="B222" s="42" t="n"/>
    </row>
    <row r="223" ht="15.75" customHeight="1" s="85">
      <c r="B223" s="42" t="n"/>
    </row>
    <row r="224" ht="15.75" customHeight="1" s="85">
      <c r="B224" s="42" t="n"/>
    </row>
    <row r="225" ht="15.75" customHeight="1" s="85">
      <c r="B225" s="42" t="n"/>
    </row>
    <row r="226" ht="15.75" customHeight="1" s="85">
      <c r="B226" s="42" t="n"/>
    </row>
    <row r="227" ht="15.75" customHeight="1" s="85">
      <c r="B227" s="42" t="n"/>
    </row>
    <row r="228" ht="15.75" customHeight="1" s="85">
      <c r="B228" s="42" t="n"/>
    </row>
    <row r="229" ht="15.75" customHeight="1" s="85">
      <c r="B229" s="42" t="n"/>
    </row>
    <row r="230" ht="15.75" customHeight="1" s="85">
      <c r="B230" s="42" t="n"/>
    </row>
    <row r="231" ht="15.75" customHeight="1" s="85">
      <c r="B231" s="42" t="n"/>
    </row>
    <row r="232" ht="15.75" customHeight="1" s="85">
      <c r="B232" s="42" t="n"/>
    </row>
    <row r="233" ht="15.75" customHeight="1" s="85">
      <c r="B233" s="42" t="n"/>
    </row>
    <row r="234" ht="15.75" customHeight="1" s="85">
      <c r="B234" s="42" t="n"/>
    </row>
    <row r="235" ht="15.75" customHeight="1" s="85">
      <c r="B235" s="42" t="n"/>
    </row>
    <row r="236" ht="15.75" customHeight="1" s="85">
      <c r="B236" s="42" t="n"/>
    </row>
    <row r="237" ht="15.75" customHeight="1" s="85">
      <c r="B237" s="42" t="n"/>
    </row>
    <row r="238" ht="15.75" customHeight="1" s="85">
      <c r="B238" s="42" t="n"/>
    </row>
    <row r="239" ht="15.75" customHeight="1" s="85">
      <c r="B239" s="42" t="n"/>
    </row>
    <row r="240" ht="15.75" customHeight="1" s="85">
      <c r="B240" s="42" t="n"/>
    </row>
    <row r="241" ht="15.75" customHeight="1" s="85">
      <c r="B241" s="42" t="n"/>
    </row>
    <row r="242" ht="15.75" customHeight="1" s="85">
      <c r="B242" s="42" t="n"/>
    </row>
    <row r="243" ht="15.75" customHeight="1" s="85">
      <c r="B243" s="42" t="n"/>
    </row>
    <row r="244" ht="15.75" customHeight="1" s="85">
      <c r="B244" s="42" t="n"/>
    </row>
    <row r="245" ht="15.75" customHeight="1" s="85">
      <c r="B245" s="42" t="n"/>
    </row>
    <row r="246" ht="15.75" customHeight="1" s="85">
      <c r="B246" s="42" t="n"/>
    </row>
    <row r="247" ht="15.75" customHeight="1" s="85">
      <c r="B247" s="42" t="n"/>
    </row>
    <row r="248" ht="15.75" customHeight="1" s="85">
      <c r="B248" s="42" t="n"/>
    </row>
    <row r="249" ht="15.75" customHeight="1" s="85">
      <c r="B249" s="42" t="n"/>
    </row>
    <row r="250" ht="15.75" customHeight="1" s="85">
      <c r="B250" s="42" t="n"/>
    </row>
    <row r="251" ht="15.75" customHeight="1" s="85">
      <c r="B251" s="42" t="n"/>
    </row>
    <row r="252" ht="15.75" customHeight="1" s="85">
      <c r="B252" s="42" t="n"/>
    </row>
    <row r="253" ht="15.75" customHeight="1" s="85">
      <c r="B253" s="42" t="n"/>
    </row>
    <row r="254" ht="15.75" customHeight="1" s="85">
      <c r="B254" s="42" t="n"/>
    </row>
    <row r="255" ht="15.75" customHeight="1" s="85">
      <c r="B255" s="42" t="n"/>
    </row>
    <row r="256" ht="15.75" customHeight="1" s="85">
      <c r="B256" s="42" t="n"/>
    </row>
    <row r="257" ht="15.75" customHeight="1" s="85">
      <c r="B257" s="42" t="n"/>
    </row>
    <row r="258" ht="15.75" customHeight="1" s="85">
      <c r="B258" s="42" t="n"/>
    </row>
    <row r="259" ht="15.75" customHeight="1" s="85">
      <c r="B259" s="42" t="n"/>
    </row>
    <row r="260" ht="15.75" customHeight="1" s="85">
      <c r="B260" s="42" t="n"/>
    </row>
    <row r="261" ht="15.75" customHeight="1" s="85">
      <c r="B261" s="42" t="n"/>
    </row>
    <row r="262" ht="15.75" customHeight="1" s="85">
      <c r="B262" s="42" t="n"/>
    </row>
    <row r="263" ht="15.75" customHeight="1" s="85">
      <c r="B263" s="42" t="n"/>
    </row>
    <row r="264" ht="15.75" customHeight="1" s="85">
      <c r="B264" s="42" t="n"/>
    </row>
    <row r="265" ht="15.75" customHeight="1" s="85">
      <c r="B265" s="42" t="n"/>
    </row>
    <row r="266" ht="15.75" customHeight="1" s="85">
      <c r="B266" s="42" t="n"/>
    </row>
    <row r="267" ht="15.75" customHeight="1" s="85">
      <c r="B267" s="42" t="n"/>
    </row>
    <row r="268" ht="15.75" customHeight="1" s="85">
      <c r="B268" s="42" t="n"/>
    </row>
    <row r="269" ht="15.75" customHeight="1" s="85">
      <c r="B269" s="42" t="n"/>
    </row>
    <row r="270" ht="15.75" customHeight="1" s="85">
      <c r="B270" s="42" t="n"/>
    </row>
    <row r="271" ht="15.75" customHeight="1" s="85">
      <c r="B271" s="42" t="n"/>
    </row>
    <row r="272" ht="15.75" customHeight="1" s="85">
      <c r="B272" s="42" t="n"/>
    </row>
    <row r="273" ht="15.75" customHeight="1" s="85">
      <c r="B273" s="42" t="n"/>
    </row>
    <row r="274" ht="15.75" customHeight="1" s="85">
      <c r="B274" s="42" t="n"/>
    </row>
    <row r="275" ht="15.75" customHeight="1" s="85">
      <c r="B275" s="42" t="n"/>
    </row>
    <row r="276" ht="15.75" customHeight="1" s="85">
      <c r="B276" s="42" t="n"/>
    </row>
    <row r="277" ht="15.75" customHeight="1" s="85">
      <c r="B277" s="42" t="n"/>
    </row>
    <row r="278" ht="15.75" customHeight="1" s="85">
      <c r="B278" s="42" t="n"/>
    </row>
    <row r="279" ht="15.75" customHeight="1" s="85">
      <c r="B279" s="42" t="n"/>
    </row>
    <row r="280" ht="15.75" customHeight="1" s="85">
      <c r="B280" s="42" t="n"/>
    </row>
    <row r="281" ht="15.75" customHeight="1" s="85">
      <c r="B281" s="42" t="n"/>
    </row>
    <row r="282" ht="15.75" customHeight="1" s="85">
      <c r="B282" s="42" t="n"/>
    </row>
    <row r="283" ht="15.75" customHeight="1" s="85">
      <c r="B283" s="42" t="n"/>
    </row>
    <row r="284" ht="15.75" customHeight="1" s="85">
      <c r="B284" s="42" t="n"/>
    </row>
    <row r="285" ht="15.75" customHeight="1" s="85">
      <c r="B285" s="42" t="n"/>
    </row>
    <row r="286" ht="15.75" customHeight="1" s="85">
      <c r="B286" s="42" t="n"/>
    </row>
    <row r="287" ht="15.75" customHeight="1" s="85">
      <c r="B287" s="42" t="n"/>
    </row>
    <row r="288" ht="15.75" customHeight="1" s="85">
      <c r="B288" s="42" t="n"/>
    </row>
    <row r="289" ht="15.75" customHeight="1" s="85">
      <c r="B289" s="42" t="n"/>
    </row>
    <row r="290" ht="15.75" customHeight="1" s="85">
      <c r="B290" s="42" t="n"/>
    </row>
    <row r="291" ht="15.75" customHeight="1" s="85">
      <c r="B291" s="42" t="n"/>
    </row>
    <row r="292" ht="15.75" customHeight="1" s="85">
      <c r="B292" s="42" t="n"/>
    </row>
    <row r="293" ht="15.75" customHeight="1" s="85">
      <c r="B293" s="42" t="n"/>
    </row>
    <row r="294" ht="15.75" customHeight="1" s="85">
      <c r="B294" s="42" t="n"/>
    </row>
    <row r="295" ht="15.75" customHeight="1" s="85">
      <c r="B295" s="42" t="n"/>
    </row>
    <row r="296" ht="15.75" customHeight="1" s="85">
      <c r="B296" s="42" t="n"/>
    </row>
    <row r="297" ht="15.75" customHeight="1" s="85">
      <c r="B297" s="42" t="n"/>
    </row>
    <row r="298" ht="15.75" customHeight="1" s="85">
      <c r="B298" s="42" t="n"/>
    </row>
    <row r="299" ht="15.75" customHeight="1" s="85">
      <c r="B299" s="42" t="n"/>
    </row>
    <row r="300" ht="15.75" customHeight="1" s="85">
      <c r="B300" s="42" t="n"/>
    </row>
    <row r="301" ht="15.75" customHeight="1" s="85">
      <c r="B301" s="42" t="n"/>
    </row>
    <row r="302" ht="15.75" customHeight="1" s="85">
      <c r="B302" s="42" t="n"/>
    </row>
    <row r="303" ht="15.75" customHeight="1" s="85">
      <c r="B303" s="42" t="n"/>
    </row>
    <row r="304" ht="15.75" customHeight="1" s="85">
      <c r="B304" s="42" t="n"/>
    </row>
    <row r="305" ht="15.75" customHeight="1" s="85">
      <c r="B305" s="42" t="n"/>
    </row>
    <row r="306" ht="15.75" customHeight="1" s="85">
      <c r="B306" s="42" t="n"/>
    </row>
    <row r="307" ht="15.75" customHeight="1" s="85">
      <c r="B307" s="42" t="n"/>
    </row>
    <row r="308" ht="15.75" customHeight="1" s="85">
      <c r="B308" s="42" t="n"/>
    </row>
    <row r="309" ht="15.75" customHeight="1" s="85">
      <c r="B309" s="42" t="n"/>
    </row>
    <row r="310" ht="15.75" customHeight="1" s="85">
      <c r="B310" s="42" t="n"/>
    </row>
    <row r="311" ht="15.75" customHeight="1" s="85">
      <c r="B311" s="42" t="n"/>
    </row>
    <row r="312" ht="15.75" customHeight="1" s="85">
      <c r="B312" s="42" t="n"/>
    </row>
    <row r="313" ht="15.75" customHeight="1" s="85">
      <c r="B313" s="42" t="n"/>
    </row>
    <row r="314" ht="15.75" customHeight="1" s="85">
      <c r="B314" s="42" t="n"/>
    </row>
    <row r="315" ht="15.75" customHeight="1" s="85">
      <c r="B315" s="42" t="n"/>
    </row>
    <row r="316" ht="15.75" customHeight="1" s="85">
      <c r="B316" s="42" t="n"/>
    </row>
    <row r="317" ht="15.75" customHeight="1" s="85">
      <c r="B317" s="42" t="n"/>
    </row>
    <row r="318" ht="15.75" customHeight="1" s="85">
      <c r="B318" s="42" t="n"/>
    </row>
    <row r="319" ht="15.75" customHeight="1" s="85">
      <c r="B319" s="42" t="n"/>
    </row>
    <row r="320" ht="15.75" customHeight="1" s="85">
      <c r="B320" s="42" t="n"/>
    </row>
    <row r="321" ht="15.75" customHeight="1" s="85">
      <c r="B321" s="42" t="n"/>
    </row>
    <row r="322" ht="15.75" customHeight="1" s="85">
      <c r="B322" s="42" t="n"/>
    </row>
    <row r="323" ht="15.75" customHeight="1" s="85">
      <c r="B323" s="42" t="n"/>
    </row>
    <row r="324" ht="15.75" customHeight="1" s="85">
      <c r="B324" s="42" t="n"/>
    </row>
    <row r="325" ht="15.75" customHeight="1" s="85">
      <c r="B325" s="42" t="n"/>
    </row>
    <row r="326" ht="15.75" customHeight="1" s="85">
      <c r="B326" s="42" t="n"/>
    </row>
    <row r="327" ht="15.75" customHeight="1" s="85">
      <c r="B327" s="42" t="n"/>
    </row>
    <row r="328" ht="15.75" customHeight="1" s="85">
      <c r="B328" s="42" t="n"/>
    </row>
    <row r="329" ht="15.75" customHeight="1" s="85">
      <c r="B329" s="42" t="n"/>
    </row>
    <row r="330" ht="15.75" customHeight="1" s="85">
      <c r="B330" s="42" t="n"/>
    </row>
    <row r="331" ht="15.75" customHeight="1" s="85">
      <c r="B331" s="42" t="n"/>
    </row>
    <row r="332" ht="15.75" customHeight="1" s="85">
      <c r="B332" s="42" t="n"/>
    </row>
    <row r="333" ht="15.75" customHeight="1" s="85">
      <c r="B333" s="42" t="n"/>
    </row>
    <row r="334" ht="15.75" customHeight="1" s="85">
      <c r="B334" s="42" t="n"/>
    </row>
    <row r="335" ht="15.75" customHeight="1" s="85">
      <c r="B335" s="42" t="n"/>
    </row>
    <row r="336" ht="15.75" customHeight="1" s="85">
      <c r="B336" s="42" t="n"/>
    </row>
    <row r="337" ht="15.75" customHeight="1" s="85">
      <c r="B337" s="42" t="n"/>
    </row>
    <row r="338" ht="15.75" customHeight="1" s="85">
      <c r="B338" s="42" t="n"/>
    </row>
    <row r="339" ht="15.75" customHeight="1" s="85">
      <c r="B339" s="42" t="n"/>
    </row>
    <row r="340" ht="15.75" customHeight="1" s="85">
      <c r="B340" s="42" t="n"/>
    </row>
    <row r="341" ht="15.75" customHeight="1" s="85">
      <c r="B341" s="42" t="n"/>
    </row>
    <row r="342" ht="15.75" customHeight="1" s="85">
      <c r="B342" s="42" t="n"/>
    </row>
    <row r="343" ht="15.75" customHeight="1" s="85">
      <c r="B343" s="42" t="n"/>
    </row>
    <row r="344" ht="15.75" customHeight="1" s="85">
      <c r="B344" s="42" t="n"/>
    </row>
    <row r="345" ht="15.75" customHeight="1" s="85">
      <c r="B345" s="42" t="n"/>
    </row>
    <row r="346" ht="15.75" customHeight="1" s="85">
      <c r="B346" s="42" t="n"/>
    </row>
    <row r="347" ht="15.75" customHeight="1" s="85">
      <c r="B347" s="42" t="n"/>
    </row>
    <row r="348" ht="15.75" customHeight="1" s="85">
      <c r="B348" s="42" t="n"/>
    </row>
    <row r="349" ht="15.75" customHeight="1" s="85">
      <c r="B349" s="42" t="n"/>
    </row>
    <row r="350" ht="15.75" customHeight="1" s="85">
      <c r="B350" s="42" t="n"/>
    </row>
    <row r="351" ht="15.75" customHeight="1" s="85">
      <c r="B351" s="42" t="n"/>
    </row>
    <row r="352" ht="15.75" customHeight="1" s="85">
      <c r="B352" s="42" t="n"/>
    </row>
    <row r="353" ht="15.75" customHeight="1" s="85">
      <c r="B353" s="42" t="n"/>
    </row>
    <row r="354" ht="15.75" customHeight="1" s="85">
      <c r="B354" s="42" t="n"/>
    </row>
    <row r="355" ht="15.75" customHeight="1" s="85">
      <c r="B355" s="42" t="n"/>
    </row>
    <row r="356" ht="15.75" customHeight="1" s="85">
      <c r="B356" s="42" t="n"/>
    </row>
    <row r="357" ht="15.75" customHeight="1" s="85">
      <c r="B357" s="42" t="n"/>
    </row>
    <row r="358" ht="15.75" customHeight="1" s="85">
      <c r="B358" s="42" t="n"/>
    </row>
    <row r="359" ht="15.75" customHeight="1" s="85">
      <c r="B359" s="42" t="n"/>
    </row>
    <row r="360" ht="15.75" customHeight="1" s="85">
      <c r="B360" s="42" t="n"/>
    </row>
    <row r="361" ht="15.75" customHeight="1" s="85">
      <c r="B361" s="42" t="n"/>
    </row>
    <row r="362" ht="15.75" customHeight="1" s="85">
      <c r="B362" s="42" t="n"/>
    </row>
    <row r="363" ht="15.75" customHeight="1" s="85">
      <c r="B363" s="42" t="n"/>
    </row>
    <row r="364" ht="15.75" customHeight="1" s="85">
      <c r="B364" s="42" t="n"/>
    </row>
    <row r="365" ht="15.75" customHeight="1" s="85">
      <c r="B365" s="42" t="n"/>
    </row>
    <row r="366" ht="15.75" customHeight="1" s="85">
      <c r="B366" s="42" t="n"/>
    </row>
    <row r="367" ht="15.75" customHeight="1" s="85">
      <c r="B367" s="42" t="n"/>
    </row>
    <row r="368" ht="15.75" customHeight="1" s="85">
      <c r="B368" s="42" t="n"/>
    </row>
    <row r="369" ht="15.75" customHeight="1" s="85">
      <c r="B369" s="42" t="n"/>
    </row>
    <row r="370" ht="15.75" customHeight="1" s="85">
      <c r="B370" s="42" t="n"/>
    </row>
    <row r="371" ht="15.75" customHeight="1" s="85">
      <c r="B371" s="42" t="n"/>
    </row>
    <row r="372" ht="15.75" customHeight="1" s="85">
      <c r="B372" s="42" t="n"/>
    </row>
    <row r="373" ht="15.75" customHeight="1" s="85">
      <c r="B373" s="42" t="n"/>
    </row>
    <row r="374" ht="15.75" customHeight="1" s="85">
      <c r="B374" s="42" t="n"/>
    </row>
    <row r="375" ht="15.75" customHeight="1" s="85">
      <c r="B375" s="42" t="n"/>
    </row>
    <row r="376" ht="15.75" customHeight="1" s="85">
      <c r="B376" s="42" t="n"/>
    </row>
    <row r="377" ht="15.75" customHeight="1" s="85">
      <c r="B377" s="42" t="n"/>
    </row>
    <row r="378" ht="15.75" customHeight="1" s="85">
      <c r="B378" s="42" t="n"/>
    </row>
    <row r="379" ht="15.75" customHeight="1" s="85">
      <c r="B379" s="42" t="n"/>
    </row>
    <row r="380" ht="15.75" customHeight="1" s="85">
      <c r="B380" s="42" t="n"/>
    </row>
    <row r="381" ht="15.75" customHeight="1" s="85">
      <c r="B381" s="42" t="n"/>
    </row>
    <row r="382" ht="15.75" customHeight="1" s="85">
      <c r="B382" s="42" t="n"/>
    </row>
    <row r="383" ht="15.75" customHeight="1" s="85">
      <c r="B383" s="42" t="n"/>
    </row>
    <row r="384" ht="15.75" customHeight="1" s="85">
      <c r="B384" s="42" t="n"/>
    </row>
    <row r="385" ht="15.75" customHeight="1" s="85">
      <c r="B385" s="42" t="n"/>
    </row>
    <row r="386" ht="15.75" customHeight="1" s="85">
      <c r="B386" s="42" t="n"/>
    </row>
    <row r="387" ht="15.75" customHeight="1" s="85">
      <c r="B387" s="42" t="n"/>
    </row>
    <row r="388" ht="15.75" customHeight="1" s="85">
      <c r="B388" s="42" t="n"/>
    </row>
    <row r="389" ht="15.75" customHeight="1" s="85">
      <c r="B389" s="42" t="n"/>
    </row>
    <row r="390" ht="15.75" customHeight="1" s="85">
      <c r="B390" s="42" t="n"/>
    </row>
    <row r="391" ht="15.75" customHeight="1" s="85">
      <c r="B391" s="42" t="n"/>
    </row>
    <row r="392" ht="15.75" customHeight="1" s="85">
      <c r="B392" s="42" t="n"/>
    </row>
    <row r="393" ht="15.75" customHeight="1" s="85">
      <c r="B393" s="42" t="n"/>
    </row>
    <row r="394" ht="15.75" customHeight="1" s="85">
      <c r="B394" s="42" t="n"/>
    </row>
    <row r="395" ht="15.75" customHeight="1" s="85">
      <c r="B395" s="42" t="n"/>
    </row>
    <row r="396" ht="15.75" customHeight="1" s="85">
      <c r="B396" s="42" t="n"/>
    </row>
    <row r="397" ht="15.75" customHeight="1" s="85">
      <c r="B397" s="42" t="n"/>
    </row>
    <row r="398" ht="15.75" customHeight="1" s="85">
      <c r="B398" s="42" t="n"/>
    </row>
    <row r="399" ht="15.75" customHeight="1" s="85">
      <c r="B399" s="42" t="n"/>
    </row>
    <row r="400" ht="15.75" customHeight="1" s="85">
      <c r="B400" s="42" t="n"/>
    </row>
    <row r="401" ht="15.75" customHeight="1" s="85">
      <c r="B401" s="42" t="n"/>
    </row>
    <row r="402" ht="15.75" customHeight="1" s="85">
      <c r="B402" s="42" t="n"/>
    </row>
    <row r="403" ht="15.75" customHeight="1" s="85">
      <c r="B403" s="42" t="n"/>
    </row>
    <row r="404" ht="15.75" customHeight="1" s="85">
      <c r="B404" s="42" t="n"/>
    </row>
    <row r="405" ht="15.75" customHeight="1" s="85">
      <c r="B405" s="42" t="n"/>
    </row>
    <row r="406" ht="15.75" customHeight="1" s="85">
      <c r="B406" s="42" t="n"/>
    </row>
    <row r="407" ht="15.75" customHeight="1" s="85">
      <c r="B407" s="42" t="n"/>
    </row>
    <row r="408" ht="15.75" customHeight="1" s="85">
      <c r="B408" s="42" t="n"/>
    </row>
    <row r="409" ht="15.75" customHeight="1" s="85">
      <c r="B409" s="42" t="n"/>
    </row>
    <row r="410" ht="15.75" customHeight="1" s="85">
      <c r="B410" s="42" t="n"/>
    </row>
    <row r="411" ht="15.75" customHeight="1" s="85">
      <c r="B411" s="42" t="n"/>
    </row>
    <row r="412" ht="15.75" customHeight="1" s="85">
      <c r="B412" s="42" t="n"/>
    </row>
    <row r="413" ht="15.75" customHeight="1" s="85">
      <c r="B413" s="42" t="n"/>
    </row>
    <row r="414" ht="15.75" customHeight="1" s="85">
      <c r="B414" s="42" t="n"/>
    </row>
    <row r="415" ht="15.75" customHeight="1" s="85">
      <c r="B415" s="42" t="n"/>
    </row>
    <row r="416" ht="15.75" customHeight="1" s="85">
      <c r="B416" s="42" t="n"/>
    </row>
    <row r="417" ht="15.75" customHeight="1" s="85">
      <c r="B417" s="42" t="n"/>
    </row>
    <row r="418" ht="15.75" customHeight="1" s="85">
      <c r="B418" s="42" t="n"/>
    </row>
    <row r="419" ht="15.75" customHeight="1" s="85">
      <c r="B419" s="42" t="n"/>
    </row>
    <row r="420" ht="15.75" customHeight="1" s="85">
      <c r="B420" s="42" t="n"/>
    </row>
    <row r="421" ht="15.75" customHeight="1" s="85">
      <c r="B421" s="42" t="n"/>
    </row>
    <row r="422" ht="15.75" customHeight="1" s="85">
      <c r="B422" s="42" t="n"/>
    </row>
    <row r="423" ht="15.75" customHeight="1" s="85">
      <c r="B423" s="42" t="n"/>
    </row>
    <row r="424" ht="15.75" customHeight="1" s="85">
      <c r="B424" s="42" t="n"/>
    </row>
    <row r="425" ht="15.75" customHeight="1" s="85">
      <c r="B425" s="42" t="n"/>
    </row>
    <row r="426" ht="15.75" customHeight="1" s="85">
      <c r="B426" s="42" t="n"/>
    </row>
    <row r="427" ht="15.75" customHeight="1" s="85">
      <c r="B427" s="42" t="n"/>
    </row>
    <row r="428" ht="15.75" customHeight="1" s="85">
      <c r="B428" s="42" t="n"/>
    </row>
    <row r="429" ht="15.75" customHeight="1" s="85">
      <c r="B429" s="42" t="n"/>
    </row>
    <row r="430" ht="15.75" customHeight="1" s="85">
      <c r="B430" s="42" t="n"/>
    </row>
    <row r="431" ht="15.75" customHeight="1" s="85">
      <c r="B431" s="42" t="n"/>
    </row>
    <row r="432" ht="15.75" customHeight="1" s="85">
      <c r="B432" s="42" t="n"/>
    </row>
    <row r="433" ht="15.75" customHeight="1" s="85">
      <c r="B433" s="42" t="n"/>
    </row>
    <row r="434" ht="15.75" customHeight="1" s="85">
      <c r="B434" s="42" t="n"/>
    </row>
    <row r="435" ht="15.75" customHeight="1" s="85">
      <c r="B435" s="42" t="n"/>
    </row>
    <row r="436" ht="15.75" customHeight="1" s="85">
      <c r="B436" s="42" t="n"/>
    </row>
    <row r="437" ht="15.75" customHeight="1" s="85">
      <c r="B437" s="42" t="n"/>
    </row>
    <row r="438" ht="15.75" customHeight="1" s="85">
      <c r="B438" s="42" t="n"/>
    </row>
    <row r="439" ht="15.75" customHeight="1" s="85">
      <c r="B439" s="42" t="n"/>
    </row>
    <row r="440" ht="15.75" customHeight="1" s="85">
      <c r="B440" s="42" t="n"/>
    </row>
    <row r="441" ht="15.75" customHeight="1" s="85">
      <c r="B441" s="42" t="n"/>
    </row>
    <row r="442" ht="15.75" customHeight="1" s="85">
      <c r="B442" s="42" t="n"/>
    </row>
    <row r="443" ht="15.75" customHeight="1" s="85">
      <c r="B443" s="42" t="n"/>
    </row>
    <row r="444" ht="15.75" customHeight="1" s="85">
      <c r="B444" s="42" t="n"/>
    </row>
    <row r="445" ht="15.75" customHeight="1" s="85">
      <c r="B445" s="42" t="n"/>
    </row>
    <row r="446" ht="15.75" customHeight="1" s="85">
      <c r="B446" s="42" t="n"/>
    </row>
    <row r="447" ht="15.75" customHeight="1" s="85">
      <c r="B447" s="42" t="n"/>
    </row>
    <row r="448" ht="15.75" customHeight="1" s="85">
      <c r="B448" s="42" t="n"/>
    </row>
    <row r="449" ht="15.75" customHeight="1" s="85">
      <c r="B449" s="42" t="n"/>
    </row>
    <row r="450" ht="15.75" customHeight="1" s="85">
      <c r="B450" s="42" t="n"/>
    </row>
    <row r="451" ht="15.75" customHeight="1" s="85">
      <c r="B451" s="42" t="n"/>
    </row>
    <row r="452" ht="15.75" customHeight="1" s="85">
      <c r="B452" s="42" t="n"/>
    </row>
    <row r="453" ht="15.75" customHeight="1" s="85">
      <c r="B453" s="42" t="n"/>
    </row>
    <row r="454" ht="15.75" customHeight="1" s="85">
      <c r="B454" s="42" t="n"/>
    </row>
    <row r="455" ht="15.75" customHeight="1" s="85">
      <c r="B455" s="42" t="n"/>
    </row>
    <row r="456" ht="15.75" customHeight="1" s="85">
      <c r="B456" s="42" t="n"/>
    </row>
    <row r="457" ht="15.75" customHeight="1" s="85">
      <c r="B457" s="42" t="n"/>
    </row>
    <row r="458" ht="15.75" customHeight="1" s="85">
      <c r="B458" s="42" t="n"/>
    </row>
    <row r="459" ht="15.75" customHeight="1" s="85">
      <c r="B459" s="42" t="n"/>
    </row>
    <row r="460" ht="15.75" customHeight="1" s="85">
      <c r="B460" s="42" t="n"/>
    </row>
    <row r="461" ht="15.75" customHeight="1" s="85">
      <c r="B461" s="42" t="n"/>
    </row>
    <row r="462" ht="15.75" customHeight="1" s="85">
      <c r="B462" s="42" t="n"/>
    </row>
    <row r="463" ht="15.75" customHeight="1" s="85">
      <c r="B463" s="42" t="n"/>
    </row>
    <row r="464" ht="15.75" customHeight="1" s="85">
      <c r="B464" s="42" t="n"/>
    </row>
    <row r="465" ht="15.75" customHeight="1" s="85">
      <c r="B465" s="42" t="n"/>
    </row>
    <row r="466" ht="15.75" customHeight="1" s="85">
      <c r="B466" s="42" t="n"/>
    </row>
    <row r="467" ht="15.75" customHeight="1" s="85">
      <c r="B467" s="42" t="n"/>
    </row>
    <row r="468" ht="15.75" customHeight="1" s="85">
      <c r="B468" s="42" t="n"/>
    </row>
    <row r="469" ht="15.75" customHeight="1" s="85">
      <c r="B469" s="42" t="n"/>
    </row>
    <row r="470" ht="15.75" customHeight="1" s="85">
      <c r="B470" s="42" t="n"/>
    </row>
    <row r="471" ht="15.75" customHeight="1" s="85">
      <c r="B471" s="42" t="n"/>
    </row>
    <row r="472" ht="15.75" customHeight="1" s="85">
      <c r="B472" s="42" t="n"/>
    </row>
    <row r="473" ht="15.75" customHeight="1" s="85">
      <c r="B473" s="42" t="n"/>
    </row>
    <row r="474" ht="15.75" customHeight="1" s="85">
      <c r="B474" s="42" t="n"/>
    </row>
    <row r="475" ht="15.75" customHeight="1" s="85">
      <c r="B475" s="42" t="n"/>
    </row>
    <row r="476" ht="15.75" customHeight="1" s="85">
      <c r="B476" s="42" t="n"/>
    </row>
    <row r="477" ht="15.75" customHeight="1" s="85">
      <c r="B477" s="42" t="n"/>
    </row>
    <row r="478" ht="15.75" customHeight="1" s="85">
      <c r="B478" s="42" t="n"/>
    </row>
    <row r="479" ht="15.75" customHeight="1" s="85">
      <c r="B479" s="42" t="n"/>
    </row>
    <row r="480" ht="15.75" customHeight="1" s="85">
      <c r="B480" s="42" t="n"/>
    </row>
    <row r="481" ht="15.75" customHeight="1" s="85">
      <c r="B481" s="42" t="n"/>
    </row>
    <row r="482" ht="15.75" customHeight="1" s="85">
      <c r="B482" s="42" t="n"/>
    </row>
    <row r="483" ht="15.75" customHeight="1" s="85">
      <c r="B483" s="42" t="n"/>
    </row>
    <row r="484" ht="15.75" customHeight="1" s="85">
      <c r="B484" s="42" t="n"/>
    </row>
    <row r="485" ht="15.75" customHeight="1" s="85">
      <c r="B485" s="42" t="n"/>
    </row>
    <row r="486" ht="15.75" customHeight="1" s="85">
      <c r="B486" s="42" t="n"/>
    </row>
    <row r="487" ht="15.75" customHeight="1" s="85">
      <c r="B487" s="42" t="n"/>
    </row>
    <row r="488" ht="15.75" customHeight="1" s="85">
      <c r="B488" s="42" t="n"/>
    </row>
    <row r="489" ht="15.75" customHeight="1" s="85">
      <c r="B489" s="42" t="n"/>
    </row>
    <row r="490" ht="15.75" customHeight="1" s="85">
      <c r="B490" s="42" t="n"/>
    </row>
    <row r="491" ht="15.75" customHeight="1" s="85">
      <c r="B491" s="42" t="n"/>
    </row>
    <row r="492" ht="15.75" customHeight="1" s="85">
      <c r="B492" s="42" t="n"/>
    </row>
    <row r="493" ht="15.75" customHeight="1" s="85">
      <c r="B493" s="42" t="n"/>
    </row>
    <row r="494" ht="15.75" customHeight="1" s="85">
      <c r="B494" s="42" t="n"/>
    </row>
    <row r="495" ht="15.75" customHeight="1" s="85">
      <c r="B495" s="42" t="n"/>
    </row>
    <row r="496" ht="15.75" customHeight="1" s="85">
      <c r="B496" s="42" t="n"/>
    </row>
    <row r="497" ht="15.75" customHeight="1" s="85">
      <c r="B497" s="42" t="n"/>
    </row>
    <row r="498" ht="15.75" customHeight="1" s="85">
      <c r="B498" s="42" t="n"/>
    </row>
    <row r="499" ht="15.75" customHeight="1" s="85">
      <c r="B499" s="42" t="n"/>
    </row>
    <row r="500" ht="15.75" customHeight="1" s="85">
      <c r="B500" s="42" t="n"/>
    </row>
    <row r="501" ht="15.75" customHeight="1" s="85">
      <c r="B501" s="42" t="n"/>
    </row>
    <row r="502" ht="15.75" customHeight="1" s="85">
      <c r="B502" s="42" t="n"/>
    </row>
    <row r="503" ht="15.75" customHeight="1" s="85">
      <c r="B503" s="42" t="n"/>
    </row>
    <row r="504" ht="15.75" customHeight="1" s="85">
      <c r="B504" s="42" t="n"/>
    </row>
    <row r="505" ht="15.75" customHeight="1" s="85">
      <c r="B505" s="42" t="n"/>
    </row>
    <row r="506" ht="15.75" customHeight="1" s="85">
      <c r="B506" s="42" t="n"/>
    </row>
    <row r="507" ht="15.75" customHeight="1" s="85">
      <c r="B507" s="42" t="n"/>
    </row>
    <row r="508" ht="15.75" customHeight="1" s="85">
      <c r="B508" s="42" t="n"/>
    </row>
    <row r="509" ht="15.75" customHeight="1" s="85">
      <c r="B509" s="42" t="n"/>
    </row>
    <row r="510" ht="15.75" customHeight="1" s="85">
      <c r="B510" s="42" t="n"/>
    </row>
    <row r="511" ht="15.75" customHeight="1" s="85">
      <c r="B511" s="42" t="n"/>
    </row>
    <row r="512" ht="15.75" customHeight="1" s="85">
      <c r="B512" s="42" t="n"/>
    </row>
    <row r="513" ht="15.75" customHeight="1" s="85">
      <c r="B513" s="42" t="n"/>
    </row>
    <row r="514" ht="15.75" customHeight="1" s="85">
      <c r="B514" s="42" t="n"/>
    </row>
    <row r="515" ht="15.75" customHeight="1" s="85">
      <c r="B515" s="42" t="n"/>
    </row>
    <row r="516" ht="15.75" customHeight="1" s="85">
      <c r="B516" s="42" t="n"/>
    </row>
    <row r="517" ht="15.75" customHeight="1" s="85">
      <c r="B517" s="42" t="n"/>
    </row>
    <row r="518" ht="15.75" customHeight="1" s="85">
      <c r="B518" s="42" t="n"/>
    </row>
    <row r="519" ht="15.75" customHeight="1" s="85">
      <c r="B519" s="42" t="n"/>
    </row>
    <row r="520" ht="15.75" customHeight="1" s="85">
      <c r="B520" s="42" t="n"/>
    </row>
    <row r="521" ht="15.75" customHeight="1" s="85">
      <c r="B521" s="42" t="n"/>
    </row>
    <row r="522" ht="15.75" customHeight="1" s="85">
      <c r="B522" s="42" t="n"/>
    </row>
    <row r="523" ht="15.75" customHeight="1" s="85">
      <c r="B523" s="42" t="n"/>
    </row>
    <row r="524" ht="15.75" customHeight="1" s="85">
      <c r="B524" s="42" t="n"/>
    </row>
    <row r="525" ht="15.75" customHeight="1" s="85">
      <c r="B525" s="42" t="n"/>
    </row>
    <row r="526" ht="15.75" customHeight="1" s="85">
      <c r="B526" s="42" t="n"/>
    </row>
    <row r="527" ht="15.75" customHeight="1" s="85">
      <c r="B527" s="42" t="n"/>
    </row>
    <row r="528" ht="15.75" customHeight="1" s="85">
      <c r="B528" s="42" t="n"/>
    </row>
    <row r="529" ht="15.75" customHeight="1" s="85">
      <c r="B529" s="42" t="n"/>
    </row>
    <row r="530" ht="15.75" customHeight="1" s="85">
      <c r="B530" s="42" t="n"/>
    </row>
    <row r="531" ht="15.75" customHeight="1" s="85">
      <c r="B531" s="42" t="n"/>
    </row>
    <row r="532" ht="15.75" customHeight="1" s="85">
      <c r="B532" s="42" t="n"/>
    </row>
    <row r="533" ht="15.75" customHeight="1" s="85">
      <c r="B533" s="42" t="n"/>
    </row>
    <row r="534" ht="15.75" customHeight="1" s="85">
      <c r="B534" s="42" t="n"/>
    </row>
    <row r="535" ht="15.75" customHeight="1" s="85">
      <c r="B535" s="42" t="n"/>
    </row>
    <row r="536" ht="15.75" customHeight="1" s="85">
      <c r="B536" s="42" t="n"/>
    </row>
    <row r="537" ht="15.75" customHeight="1" s="85">
      <c r="B537" s="42" t="n"/>
    </row>
    <row r="538" ht="15.75" customHeight="1" s="85">
      <c r="B538" s="42" t="n"/>
    </row>
    <row r="539" ht="15.75" customHeight="1" s="85">
      <c r="B539" s="42" t="n"/>
    </row>
    <row r="540" ht="15.75" customHeight="1" s="85">
      <c r="B540" s="42" t="n"/>
    </row>
    <row r="541" ht="15.75" customHeight="1" s="85">
      <c r="B541" s="42" t="n"/>
    </row>
    <row r="542" ht="15.75" customHeight="1" s="85">
      <c r="B542" s="42" t="n"/>
    </row>
    <row r="543" ht="15.75" customHeight="1" s="85">
      <c r="B543" s="42" t="n"/>
    </row>
    <row r="544" ht="15.75" customHeight="1" s="85">
      <c r="B544" s="42" t="n"/>
    </row>
    <row r="545" ht="15.75" customHeight="1" s="85">
      <c r="B545" s="42" t="n"/>
    </row>
    <row r="546" ht="15.75" customHeight="1" s="85">
      <c r="B546" s="42" t="n"/>
    </row>
    <row r="547" ht="15.75" customHeight="1" s="85">
      <c r="B547" s="42" t="n"/>
    </row>
    <row r="548" ht="15.75" customHeight="1" s="85">
      <c r="B548" s="42" t="n"/>
    </row>
    <row r="549" ht="15.75" customHeight="1" s="85">
      <c r="B549" s="42" t="n"/>
    </row>
    <row r="550" ht="15.75" customHeight="1" s="85">
      <c r="B550" s="42" t="n"/>
    </row>
    <row r="551" ht="15.75" customHeight="1" s="85">
      <c r="B551" s="42" t="n"/>
    </row>
    <row r="552" ht="15.75" customHeight="1" s="85">
      <c r="B552" s="42" t="n"/>
    </row>
    <row r="553" ht="15.75" customHeight="1" s="85">
      <c r="B553" s="42" t="n"/>
    </row>
    <row r="554" ht="15.75" customHeight="1" s="85">
      <c r="B554" s="42" t="n"/>
    </row>
    <row r="555" ht="15.75" customHeight="1" s="85">
      <c r="B555" s="42" t="n"/>
    </row>
    <row r="556" ht="15.75" customHeight="1" s="85">
      <c r="B556" s="42" t="n"/>
    </row>
    <row r="557" ht="15.75" customHeight="1" s="85">
      <c r="B557" s="42" t="n"/>
    </row>
    <row r="558" ht="15.75" customHeight="1" s="85">
      <c r="B558" s="42" t="n"/>
    </row>
    <row r="559" ht="15.75" customHeight="1" s="85">
      <c r="B559" s="42" t="n"/>
    </row>
    <row r="560" ht="15.75" customHeight="1" s="85">
      <c r="B560" s="42" t="n"/>
    </row>
    <row r="561" ht="15.75" customHeight="1" s="85">
      <c r="B561" s="42" t="n"/>
    </row>
    <row r="562" ht="15.75" customHeight="1" s="85">
      <c r="B562" s="42" t="n"/>
    </row>
    <row r="563" ht="15.75" customHeight="1" s="85">
      <c r="B563" s="42" t="n"/>
    </row>
    <row r="564" ht="15.75" customHeight="1" s="85">
      <c r="B564" s="42" t="n"/>
    </row>
    <row r="565" ht="15.75" customHeight="1" s="85">
      <c r="B565" s="42" t="n"/>
    </row>
    <row r="566" ht="15.75" customHeight="1" s="85">
      <c r="B566" s="42" t="n"/>
    </row>
    <row r="567" ht="15.75" customHeight="1" s="85">
      <c r="B567" s="42" t="n"/>
    </row>
    <row r="568" ht="15.75" customHeight="1" s="85">
      <c r="B568" s="42" t="n"/>
    </row>
    <row r="569" ht="15.75" customHeight="1" s="85">
      <c r="B569" s="42" t="n"/>
    </row>
    <row r="570" ht="15.75" customHeight="1" s="85">
      <c r="B570" s="42" t="n"/>
    </row>
    <row r="571" ht="15.75" customHeight="1" s="85">
      <c r="B571" s="42" t="n"/>
    </row>
    <row r="572" ht="15.75" customHeight="1" s="85">
      <c r="B572" s="42" t="n"/>
    </row>
    <row r="573" ht="15.75" customHeight="1" s="85">
      <c r="B573" s="42" t="n"/>
    </row>
    <row r="574" ht="15.75" customHeight="1" s="85">
      <c r="B574" s="42" t="n"/>
    </row>
    <row r="575" ht="15.75" customHeight="1" s="85">
      <c r="B575" s="42" t="n"/>
    </row>
    <row r="576" ht="15.75" customHeight="1" s="85">
      <c r="B576" s="42" t="n"/>
    </row>
    <row r="577" ht="15.75" customHeight="1" s="85">
      <c r="B577" s="42" t="n"/>
    </row>
    <row r="578" ht="15.75" customHeight="1" s="85">
      <c r="B578" s="42" t="n"/>
    </row>
    <row r="579" ht="15.75" customHeight="1" s="85">
      <c r="B579" s="42" t="n"/>
    </row>
    <row r="580" ht="15.75" customHeight="1" s="85">
      <c r="B580" s="42" t="n"/>
    </row>
    <row r="581" ht="15.75" customHeight="1" s="85">
      <c r="B581" s="42" t="n"/>
    </row>
    <row r="582" ht="15.75" customHeight="1" s="85">
      <c r="B582" s="42" t="n"/>
    </row>
    <row r="583" ht="15.75" customHeight="1" s="85">
      <c r="B583" s="42" t="n"/>
    </row>
    <row r="584" ht="15.75" customHeight="1" s="85">
      <c r="B584" s="42" t="n"/>
    </row>
    <row r="585" ht="15.75" customHeight="1" s="85">
      <c r="B585" s="42" t="n"/>
    </row>
    <row r="586" ht="15.75" customHeight="1" s="85">
      <c r="B586" s="42" t="n"/>
    </row>
    <row r="587" ht="15.75" customHeight="1" s="85">
      <c r="B587" s="42" t="n"/>
    </row>
    <row r="588" ht="15.75" customHeight="1" s="85">
      <c r="B588" s="42" t="n"/>
    </row>
    <row r="589" ht="15.75" customHeight="1" s="85">
      <c r="B589" s="42" t="n"/>
    </row>
    <row r="590" ht="15.75" customHeight="1" s="85">
      <c r="B590" s="42" t="n"/>
    </row>
    <row r="591" ht="15.75" customHeight="1" s="85">
      <c r="B591" s="42" t="n"/>
    </row>
    <row r="592" ht="15.75" customHeight="1" s="85">
      <c r="B592" s="42" t="n"/>
    </row>
    <row r="593" ht="15.75" customHeight="1" s="85">
      <c r="B593" s="42" t="n"/>
    </row>
    <row r="594" ht="15.75" customHeight="1" s="85">
      <c r="B594" s="42" t="n"/>
    </row>
    <row r="595" ht="15.75" customHeight="1" s="85">
      <c r="B595" s="42" t="n"/>
    </row>
    <row r="596" ht="15.75" customHeight="1" s="85">
      <c r="B596" s="42" t="n"/>
    </row>
    <row r="597" ht="15.75" customHeight="1" s="85">
      <c r="B597" s="42" t="n"/>
    </row>
    <row r="598" ht="15.75" customHeight="1" s="85">
      <c r="B598" s="42" t="n"/>
    </row>
    <row r="599" ht="15.75" customHeight="1" s="85">
      <c r="B599" s="42" t="n"/>
    </row>
    <row r="600" ht="15.75" customHeight="1" s="85">
      <c r="B600" s="42" t="n"/>
    </row>
    <row r="601" ht="15.75" customHeight="1" s="85">
      <c r="B601" s="42" t="n"/>
    </row>
    <row r="602" ht="15.75" customHeight="1" s="85">
      <c r="B602" s="42" t="n"/>
    </row>
    <row r="603" ht="15.75" customHeight="1" s="85">
      <c r="B603" s="42" t="n"/>
    </row>
    <row r="604" ht="15.75" customHeight="1" s="85">
      <c r="B604" s="42" t="n"/>
    </row>
    <row r="605" ht="15.75" customHeight="1" s="85">
      <c r="B605" s="42" t="n"/>
    </row>
    <row r="606" ht="15.75" customHeight="1" s="85">
      <c r="B606" s="42" t="n"/>
    </row>
    <row r="607" ht="15.75" customHeight="1" s="85">
      <c r="B607" s="42" t="n"/>
    </row>
    <row r="608" ht="15.75" customHeight="1" s="85">
      <c r="B608" s="42" t="n"/>
    </row>
    <row r="609" ht="15.75" customHeight="1" s="85">
      <c r="B609" s="42" t="n"/>
    </row>
    <row r="610" ht="15.75" customHeight="1" s="85">
      <c r="B610" s="42" t="n"/>
    </row>
    <row r="611" ht="15.75" customHeight="1" s="85">
      <c r="B611" s="42" t="n"/>
    </row>
    <row r="612" ht="15.75" customHeight="1" s="85">
      <c r="B612" s="42" t="n"/>
    </row>
    <row r="613" ht="15.75" customHeight="1" s="85">
      <c r="B613" s="42" t="n"/>
    </row>
    <row r="614" ht="15.75" customHeight="1" s="85">
      <c r="B614" s="42" t="n"/>
    </row>
    <row r="615" ht="15.75" customHeight="1" s="85">
      <c r="B615" s="42" t="n"/>
    </row>
    <row r="616" ht="15.75" customHeight="1" s="85">
      <c r="B616" s="42" t="n"/>
    </row>
    <row r="617" ht="15.75" customHeight="1" s="85">
      <c r="B617" s="42" t="n"/>
    </row>
    <row r="618" ht="15.75" customHeight="1" s="85">
      <c r="B618" s="42" t="n"/>
    </row>
    <row r="619" ht="15.75" customHeight="1" s="85">
      <c r="B619" s="42" t="n"/>
    </row>
    <row r="620" ht="15.75" customHeight="1" s="85">
      <c r="B620" s="42" t="n"/>
    </row>
    <row r="621" ht="15.75" customHeight="1" s="85">
      <c r="B621" s="42" t="n"/>
    </row>
    <row r="622" ht="15.75" customHeight="1" s="85">
      <c r="B622" s="42" t="n"/>
    </row>
    <row r="623" ht="15.75" customHeight="1" s="85">
      <c r="B623" s="42" t="n"/>
    </row>
    <row r="624" ht="15.75" customHeight="1" s="85">
      <c r="B624" s="42" t="n"/>
    </row>
    <row r="625" ht="15.75" customHeight="1" s="85">
      <c r="B625" s="42" t="n"/>
    </row>
    <row r="626" ht="15.75" customHeight="1" s="85">
      <c r="B626" s="42" t="n"/>
    </row>
    <row r="627" ht="15.75" customHeight="1" s="85">
      <c r="B627" s="42" t="n"/>
    </row>
    <row r="628" ht="15.75" customHeight="1" s="85">
      <c r="B628" s="42" t="n"/>
    </row>
    <row r="629" ht="15.75" customHeight="1" s="85">
      <c r="B629" s="42" t="n"/>
    </row>
    <row r="630" ht="15.75" customHeight="1" s="85">
      <c r="B630" s="42" t="n"/>
    </row>
    <row r="631" ht="15.75" customHeight="1" s="85">
      <c r="B631" s="42" t="n"/>
    </row>
    <row r="632" ht="15.75" customHeight="1" s="85">
      <c r="B632" s="42" t="n"/>
    </row>
    <row r="633" ht="15.75" customHeight="1" s="85">
      <c r="B633" s="42" t="n"/>
    </row>
    <row r="634" ht="15.75" customHeight="1" s="85">
      <c r="B634" s="42" t="n"/>
    </row>
    <row r="635" ht="15.75" customHeight="1" s="85">
      <c r="B635" s="42" t="n"/>
    </row>
    <row r="636" ht="15.75" customHeight="1" s="85">
      <c r="B636" s="42" t="n"/>
    </row>
    <row r="637" ht="15.75" customHeight="1" s="85">
      <c r="B637" s="42" t="n"/>
    </row>
    <row r="638" ht="15.75" customHeight="1" s="85">
      <c r="B638" s="42" t="n"/>
    </row>
    <row r="639" ht="15.75" customHeight="1" s="85">
      <c r="B639" s="42" t="n"/>
    </row>
    <row r="640" ht="15.75" customHeight="1" s="85">
      <c r="B640" s="42" t="n"/>
    </row>
    <row r="641" ht="15.75" customHeight="1" s="85">
      <c r="B641" s="42" t="n"/>
    </row>
    <row r="642" ht="15.75" customHeight="1" s="85">
      <c r="B642" s="42" t="n"/>
    </row>
    <row r="643" ht="15.75" customHeight="1" s="85">
      <c r="B643" s="42" t="n"/>
    </row>
    <row r="644" ht="15.75" customHeight="1" s="85">
      <c r="B644" s="42" t="n"/>
    </row>
    <row r="645" ht="15.75" customHeight="1" s="85">
      <c r="B645" s="42" t="n"/>
    </row>
    <row r="646" ht="15.75" customHeight="1" s="85">
      <c r="B646" s="42" t="n"/>
    </row>
    <row r="647" ht="15.75" customHeight="1" s="85">
      <c r="B647" s="42" t="n"/>
    </row>
    <row r="648" ht="15.75" customHeight="1" s="85">
      <c r="B648" s="42" t="n"/>
    </row>
    <row r="649" ht="15.75" customHeight="1" s="85">
      <c r="B649" s="42" t="n"/>
    </row>
    <row r="650" ht="15.75" customHeight="1" s="85">
      <c r="B650" s="42" t="n"/>
    </row>
    <row r="651" ht="15.75" customHeight="1" s="85">
      <c r="B651" s="42" t="n"/>
    </row>
    <row r="652" ht="15.75" customHeight="1" s="85">
      <c r="B652" s="42" t="n"/>
    </row>
    <row r="653" ht="15.75" customHeight="1" s="85">
      <c r="B653" s="42" t="n"/>
    </row>
    <row r="654" ht="15.75" customHeight="1" s="85">
      <c r="B654" s="42" t="n"/>
    </row>
    <row r="655" ht="15.75" customHeight="1" s="85">
      <c r="B655" s="42" t="n"/>
    </row>
    <row r="656" ht="15.75" customHeight="1" s="85">
      <c r="B656" s="42" t="n"/>
    </row>
    <row r="657" ht="15.75" customHeight="1" s="85">
      <c r="B657" s="42" t="n"/>
    </row>
    <row r="658" ht="15.75" customHeight="1" s="85">
      <c r="B658" s="42" t="n"/>
    </row>
    <row r="659" ht="15.75" customHeight="1" s="85">
      <c r="B659" s="42" t="n"/>
    </row>
    <row r="660" ht="15.75" customHeight="1" s="85">
      <c r="B660" s="42" t="n"/>
    </row>
    <row r="661" ht="15.75" customHeight="1" s="85">
      <c r="B661" s="42" t="n"/>
    </row>
    <row r="662" ht="15.75" customHeight="1" s="85">
      <c r="B662" s="42" t="n"/>
    </row>
    <row r="663" ht="15.75" customHeight="1" s="85">
      <c r="B663" s="42" t="n"/>
    </row>
    <row r="664" ht="15.75" customHeight="1" s="85">
      <c r="B664" s="42" t="n"/>
    </row>
    <row r="665" ht="15.75" customHeight="1" s="85">
      <c r="B665" s="42" t="n"/>
    </row>
    <row r="666" ht="15.75" customHeight="1" s="85">
      <c r="B666" s="42" t="n"/>
    </row>
    <row r="667" ht="15.75" customHeight="1" s="85">
      <c r="B667" s="42" t="n"/>
    </row>
    <row r="668" ht="15.75" customHeight="1" s="85">
      <c r="B668" s="42" t="n"/>
    </row>
    <row r="669" ht="15.75" customHeight="1" s="85">
      <c r="B669" s="42" t="n"/>
    </row>
    <row r="670" ht="15.75" customHeight="1" s="85">
      <c r="B670" s="42" t="n"/>
    </row>
    <row r="671" ht="15.75" customHeight="1" s="85">
      <c r="B671" s="42" t="n"/>
    </row>
    <row r="672" ht="15.75" customHeight="1" s="85">
      <c r="B672" s="42" t="n"/>
    </row>
    <row r="673" ht="15.75" customHeight="1" s="85">
      <c r="B673" s="42" t="n"/>
    </row>
    <row r="674" ht="15.75" customHeight="1" s="85">
      <c r="B674" s="42" t="n"/>
    </row>
    <row r="675" ht="15.75" customHeight="1" s="85">
      <c r="B675" s="42" t="n"/>
    </row>
    <row r="676" ht="15.75" customHeight="1" s="85">
      <c r="B676" s="42" t="n"/>
    </row>
    <row r="677" ht="15.75" customHeight="1" s="85">
      <c r="B677" s="42" t="n"/>
    </row>
    <row r="678" ht="15.75" customHeight="1" s="85">
      <c r="B678" s="42" t="n"/>
    </row>
    <row r="679" ht="15.75" customHeight="1" s="85">
      <c r="B679" s="42" t="n"/>
    </row>
    <row r="680" ht="15.75" customHeight="1" s="85">
      <c r="B680" s="42" t="n"/>
    </row>
    <row r="681" ht="15.75" customHeight="1" s="85">
      <c r="B681" s="42" t="n"/>
    </row>
    <row r="682" ht="15.75" customHeight="1" s="85">
      <c r="B682" s="42" t="n"/>
    </row>
    <row r="683" ht="15.75" customHeight="1" s="85">
      <c r="B683" s="42" t="n"/>
    </row>
    <row r="684" ht="15.75" customHeight="1" s="85">
      <c r="B684" s="42" t="n"/>
    </row>
    <row r="685" ht="15.75" customHeight="1" s="85">
      <c r="B685" s="42" t="n"/>
    </row>
    <row r="686" ht="15.75" customHeight="1" s="85">
      <c r="B686" s="42" t="n"/>
    </row>
    <row r="687" ht="15.75" customHeight="1" s="85">
      <c r="B687" s="42" t="n"/>
    </row>
    <row r="688" ht="15.75" customHeight="1" s="85">
      <c r="B688" s="42" t="n"/>
    </row>
    <row r="689" ht="15.75" customHeight="1" s="85">
      <c r="B689" s="42" t="n"/>
    </row>
    <row r="690" ht="15.75" customHeight="1" s="85">
      <c r="B690" s="42" t="n"/>
    </row>
    <row r="691" ht="15.75" customHeight="1" s="85">
      <c r="B691" s="42" t="n"/>
    </row>
    <row r="692" ht="15.75" customHeight="1" s="85">
      <c r="B692" s="42" t="n"/>
    </row>
    <row r="693" ht="15.75" customHeight="1" s="85">
      <c r="B693" s="42" t="n"/>
    </row>
    <row r="694" ht="15.75" customHeight="1" s="85">
      <c r="B694" s="42" t="n"/>
    </row>
    <row r="695" ht="15.75" customHeight="1" s="85">
      <c r="B695" s="42" t="n"/>
    </row>
    <row r="696" ht="15.75" customHeight="1" s="85">
      <c r="B696" s="42" t="n"/>
    </row>
    <row r="697" ht="15.75" customHeight="1" s="85">
      <c r="B697" s="42" t="n"/>
    </row>
    <row r="698" ht="15.75" customHeight="1" s="85">
      <c r="B698" s="42" t="n"/>
    </row>
    <row r="699" ht="15.75" customHeight="1" s="85">
      <c r="B699" s="42" t="n"/>
    </row>
    <row r="700" ht="15.75" customHeight="1" s="85">
      <c r="B700" s="42" t="n"/>
    </row>
    <row r="701" ht="15.75" customHeight="1" s="85">
      <c r="B701" s="42" t="n"/>
    </row>
    <row r="702" ht="15.75" customHeight="1" s="85">
      <c r="B702" s="42" t="n"/>
    </row>
    <row r="703" ht="15.75" customHeight="1" s="85">
      <c r="B703" s="42" t="n"/>
    </row>
    <row r="704" ht="15.75" customHeight="1" s="85">
      <c r="B704" s="42" t="n"/>
    </row>
    <row r="705" ht="15.75" customHeight="1" s="85">
      <c r="B705" s="42" t="n"/>
    </row>
    <row r="706" ht="15.75" customHeight="1" s="85">
      <c r="B706" s="42" t="n"/>
    </row>
    <row r="707" ht="15.75" customHeight="1" s="85">
      <c r="B707" s="42" t="n"/>
    </row>
    <row r="708" ht="15.75" customHeight="1" s="85">
      <c r="B708" s="42" t="n"/>
    </row>
    <row r="709" ht="15.75" customHeight="1" s="85">
      <c r="B709" s="42" t="n"/>
    </row>
    <row r="710" ht="15.75" customHeight="1" s="85">
      <c r="B710" s="42" t="n"/>
    </row>
    <row r="711" ht="15.75" customHeight="1" s="85">
      <c r="B711" s="42" t="n"/>
    </row>
    <row r="712" ht="15.75" customHeight="1" s="85">
      <c r="B712" s="42" t="n"/>
    </row>
    <row r="713" ht="15.75" customHeight="1" s="85">
      <c r="B713" s="42" t="n"/>
    </row>
    <row r="714" ht="15.75" customHeight="1" s="85">
      <c r="B714" s="42" t="n"/>
    </row>
    <row r="715" ht="15.75" customHeight="1" s="85">
      <c r="B715" s="42" t="n"/>
    </row>
    <row r="716" ht="15.75" customHeight="1" s="85">
      <c r="B716" s="42" t="n"/>
    </row>
    <row r="717" ht="15.75" customHeight="1" s="85">
      <c r="B717" s="42" t="n"/>
    </row>
    <row r="718" ht="15.75" customHeight="1" s="85">
      <c r="B718" s="42" t="n"/>
    </row>
    <row r="719" ht="15.75" customHeight="1" s="85">
      <c r="B719" s="42" t="n"/>
    </row>
    <row r="720" ht="15.75" customHeight="1" s="85">
      <c r="B720" s="42" t="n"/>
    </row>
    <row r="721" ht="15.75" customHeight="1" s="85">
      <c r="B721" s="42" t="n"/>
    </row>
    <row r="722" ht="15.75" customHeight="1" s="85">
      <c r="B722" s="42" t="n"/>
    </row>
    <row r="723" ht="15.75" customHeight="1" s="85">
      <c r="B723" s="42" t="n"/>
    </row>
    <row r="724" ht="15.75" customHeight="1" s="85">
      <c r="B724" s="42" t="n"/>
    </row>
    <row r="725" ht="15.75" customHeight="1" s="85">
      <c r="B725" s="42" t="n"/>
    </row>
    <row r="726" ht="15.75" customHeight="1" s="85">
      <c r="B726" s="42" t="n"/>
    </row>
    <row r="727" ht="15.75" customHeight="1" s="85">
      <c r="B727" s="42" t="n"/>
    </row>
    <row r="728" ht="15.75" customHeight="1" s="85">
      <c r="B728" s="42" t="n"/>
    </row>
    <row r="729" ht="15.75" customHeight="1" s="85">
      <c r="B729" s="42" t="n"/>
    </row>
    <row r="730" ht="15.75" customHeight="1" s="85">
      <c r="B730" s="42" t="n"/>
    </row>
    <row r="731" ht="15.75" customHeight="1" s="85">
      <c r="B731" s="42" t="n"/>
    </row>
    <row r="732" ht="15.75" customHeight="1" s="85">
      <c r="B732" s="42" t="n"/>
    </row>
    <row r="733" ht="15.75" customHeight="1" s="85">
      <c r="B733" s="42" t="n"/>
    </row>
    <row r="734" ht="15.75" customHeight="1" s="85">
      <c r="B734" s="42" t="n"/>
    </row>
    <row r="735" ht="15.75" customHeight="1" s="85">
      <c r="B735" s="42" t="n"/>
    </row>
    <row r="736" ht="15.75" customHeight="1" s="85">
      <c r="B736" s="42" t="n"/>
    </row>
    <row r="737" ht="15.75" customHeight="1" s="85">
      <c r="B737" s="42" t="n"/>
    </row>
    <row r="738" ht="15.75" customHeight="1" s="85">
      <c r="B738" s="42" t="n"/>
    </row>
    <row r="739" ht="15.75" customHeight="1" s="85">
      <c r="B739" s="42" t="n"/>
    </row>
    <row r="740" ht="15.75" customHeight="1" s="85">
      <c r="B740" s="42" t="n"/>
    </row>
    <row r="741" ht="15.75" customHeight="1" s="85">
      <c r="B741" s="42" t="n"/>
    </row>
    <row r="742" ht="15.75" customHeight="1" s="85">
      <c r="B742" s="42" t="n"/>
    </row>
    <row r="743" ht="15.75" customHeight="1" s="85">
      <c r="B743" s="42" t="n"/>
    </row>
    <row r="744" ht="15.75" customHeight="1" s="85">
      <c r="B744" s="42" t="n"/>
    </row>
    <row r="745" ht="15.75" customHeight="1" s="85">
      <c r="B745" s="42" t="n"/>
    </row>
    <row r="746" ht="15.75" customHeight="1" s="85">
      <c r="B746" s="42" t="n"/>
    </row>
    <row r="747" ht="15.75" customHeight="1" s="85">
      <c r="B747" s="42" t="n"/>
    </row>
    <row r="748" ht="15.75" customHeight="1" s="85">
      <c r="B748" s="42" t="n"/>
    </row>
    <row r="749" ht="15.75" customHeight="1" s="85">
      <c r="B749" s="42" t="n"/>
    </row>
    <row r="750" ht="15.75" customHeight="1" s="85">
      <c r="B750" s="42" t="n"/>
    </row>
    <row r="751" ht="15.75" customHeight="1" s="85">
      <c r="B751" s="42" t="n"/>
    </row>
    <row r="752" ht="15.75" customHeight="1" s="85">
      <c r="B752" s="42" t="n"/>
    </row>
    <row r="753" ht="15.75" customHeight="1" s="85">
      <c r="B753" s="42" t="n"/>
    </row>
    <row r="754" ht="15.75" customHeight="1" s="85">
      <c r="B754" s="42" t="n"/>
    </row>
    <row r="755" ht="15.75" customHeight="1" s="85">
      <c r="B755" s="42" t="n"/>
    </row>
    <row r="756" ht="15.75" customHeight="1" s="85">
      <c r="B756" s="42" t="n"/>
    </row>
    <row r="757" ht="15.75" customHeight="1" s="85">
      <c r="B757" s="42" t="n"/>
    </row>
    <row r="758" ht="15.75" customHeight="1" s="85">
      <c r="B758" s="42" t="n"/>
    </row>
    <row r="759" ht="15.75" customHeight="1" s="85">
      <c r="B759" s="42" t="n"/>
    </row>
    <row r="760" ht="15.75" customHeight="1" s="85">
      <c r="B760" s="42" t="n"/>
    </row>
    <row r="761" ht="15.75" customHeight="1" s="85">
      <c r="B761" s="42" t="n"/>
    </row>
    <row r="762" ht="15.75" customHeight="1" s="85">
      <c r="B762" s="42" t="n"/>
    </row>
    <row r="763" ht="15.75" customHeight="1" s="85">
      <c r="B763" s="42" t="n"/>
    </row>
    <row r="764" ht="15.75" customHeight="1" s="85">
      <c r="B764" s="42" t="n"/>
    </row>
    <row r="765" ht="15.75" customHeight="1" s="85">
      <c r="B765" s="42" t="n"/>
    </row>
    <row r="766" ht="15.75" customHeight="1" s="85">
      <c r="B766" s="42" t="n"/>
    </row>
    <row r="767" ht="15.75" customHeight="1" s="85">
      <c r="B767" s="42" t="n"/>
    </row>
    <row r="768" ht="15.75" customHeight="1" s="85">
      <c r="B768" s="42" t="n"/>
    </row>
    <row r="769" ht="15.75" customHeight="1" s="85">
      <c r="B769" s="42" t="n"/>
    </row>
    <row r="770" ht="15.75" customHeight="1" s="85">
      <c r="B770" s="42" t="n"/>
    </row>
    <row r="771" ht="15.75" customHeight="1" s="85">
      <c r="B771" s="42" t="n"/>
    </row>
    <row r="772" ht="15.75" customHeight="1" s="85">
      <c r="B772" s="42" t="n"/>
    </row>
    <row r="773" ht="15.75" customHeight="1" s="85">
      <c r="B773" s="42" t="n"/>
    </row>
    <row r="774" ht="15.75" customHeight="1" s="85">
      <c r="B774" s="42" t="n"/>
    </row>
    <row r="775" ht="15.75" customHeight="1" s="85">
      <c r="B775" s="42" t="n"/>
    </row>
    <row r="776" ht="15.75" customHeight="1" s="85">
      <c r="B776" s="42" t="n"/>
    </row>
    <row r="777" ht="15.75" customHeight="1" s="85">
      <c r="B777" s="42" t="n"/>
    </row>
    <row r="778" ht="15.75" customHeight="1" s="85">
      <c r="B778" s="42" t="n"/>
    </row>
    <row r="779" ht="15.75" customHeight="1" s="85">
      <c r="B779" s="42" t="n"/>
    </row>
    <row r="780" ht="15.75" customHeight="1" s="85">
      <c r="B780" s="42" t="n"/>
    </row>
    <row r="781" ht="15.75" customHeight="1" s="85">
      <c r="B781" s="42" t="n"/>
    </row>
    <row r="782" ht="15.75" customHeight="1" s="85">
      <c r="B782" s="42" t="n"/>
    </row>
    <row r="783" ht="15.75" customHeight="1" s="85">
      <c r="B783" s="42" t="n"/>
    </row>
    <row r="784" ht="15.75" customHeight="1" s="85">
      <c r="B784" s="42" t="n"/>
    </row>
    <row r="785" ht="15.75" customHeight="1" s="85">
      <c r="B785" s="42" t="n"/>
    </row>
    <row r="786" ht="15.75" customHeight="1" s="85">
      <c r="B786" s="42" t="n"/>
    </row>
    <row r="787" ht="15.75" customHeight="1" s="85">
      <c r="B787" s="42" t="n"/>
    </row>
    <row r="788" ht="15.75" customHeight="1" s="85">
      <c r="B788" s="42" t="n"/>
    </row>
    <row r="789" ht="15.75" customHeight="1" s="85">
      <c r="B789" s="42" t="n"/>
    </row>
    <row r="790" ht="15.75" customHeight="1" s="85">
      <c r="B790" s="42" t="n"/>
    </row>
    <row r="791" ht="15.75" customHeight="1" s="85">
      <c r="B791" s="42" t="n"/>
    </row>
    <row r="792" ht="15.75" customHeight="1" s="85">
      <c r="B792" s="42" t="n"/>
    </row>
    <row r="793" ht="15.75" customHeight="1" s="85">
      <c r="B793" s="42" t="n"/>
    </row>
    <row r="794" ht="15.75" customHeight="1" s="85">
      <c r="B794" s="42" t="n"/>
    </row>
    <row r="795" ht="15.75" customHeight="1" s="85">
      <c r="B795" s="42" t="n"/>
    </row>
    <row r="796" ht="15.75" customHeight="1" s="85">
      <c r="B796" s="42" t="n"/>
    </row>
    <row r="797" ht="15.75" customHeight="1" s="85">
      <c r="B797" s="42" t="n"/>
    </row>
    <row r="798" ht="15.75" customHeight="1" s="85">
      <c r="B798" s="42" t="n"/>
    </row>
    <row r="799" ht="15.75" customHeight="1" s="85">
      <c r="B799" s="42" t="n"/>
    </row>
    <row r="800" ht="15.75" customHeight="1" s="85">
      <c r="B800" s="42" t="n"/>
    </row>
    <row r="801" ht="15.75" customHeight="1" s="85">
      <c r="B801" s="42" t="n"/>
    </row>
    <row r="802" ht="15.75" customHeight="1" s="85">
      <c r="B802" s="42" t="n"/>
    </row>
    <row r="803" ht="15.75" customHeight="1" s="85">
      <c r="B803" s="42" t="n"/>
    </row>
    <row r="804" ht="15.75" customHeight="1" s="85">
      <c r="B804" s="42" t="n"/>
    </row>
    <row r="805" ht="15.75" customHeight="1" s="85">
      <c r="B805" s="42" t="n"/>
    </row>
    <row r="806" ht="15.75" customHeight="1" s="85">
      <c r="B806" s="42" t="n"/>
    </row>
    <row r="807" ht="15.75" customHeight="1" s="85">
      <c r="B807" s="42" t="n"/>
    </row>
    <row r="808" ht="15.75" customHeight="1" s="85">
      <c r="B808" s="42" t="n"/>
    </row>
    <row r="809" ht="15.75" customHeight="1" s="85">
      <c r="B809" s="42" t="n"/>
    </row>
    <row r="810" ht="15.75" customHeight="1" s="85">
      <c r="B810" s="42" t="n"/>
    </row>
    <row r="811" ht="15.75" customHeight="1" s="85">
      <c r="B811" s="42" t="n"/>
    </row>
    <row r="812" ht="15.75" customHeight="1" s="85">
      <c r="B812" s="42" t="n"/>
    </row>
    <row r="813" ht="15.75" customHeight="1" s="85">
      <c r="B813" s="42" t="n"/>
    </row>
    <row r="814" ht="15.75" customHeight="1" s="85">
      <c r="B814" s="42" t="n"/>
    </row>
    <row r="815" ht="15.75" customHeight="1" s="85">
      <c r="B815" s="42" t="n"/>
    </row>
    <row r="816" ht="15.75" customHeight="1" s="85">
      <c r="B816" s="42" t="n"/>
    </row>
    <row r="817" ht="15.75" customHeight="1" s="85">
      <c r="B817" s="42" t="n"/>
    </row>
    <row r="818" ht="15.75" customHeight="1" s="85">
      <c r="B818" s="42" t="n"/>
    </row>
    <row r="819" ht="15.75" customHeight="1" s="85">
      <c r="B819" s="42" t="n"/>
    </row>
    <row r="820" ht="15.75" customHeight="1" s="85">
      <c r="B820" s="42" t="n"/>
    </row>
    <row r="821" ht="15.75" customHeight="1" s="85">
      <c r="B821" s="42" t="n"/>
    </row>
    <row r="822" ht="15.75" customHeight="1" s="85">
      <c r="B822" s="42" t="n"/>
    </row>
    <row r="823" ht="15.75" customHeight="1" s="85">
      <c r="B823" s="42" t="n"/>
    </row>
    <row r="824" ht="15.75" customHeight="1" s="85">
      <c r="B824" s="42" t="n"/>
    </row>
    <row r="825" ht="15.75" customHeight="1" s="85">
      <c r="B825" s="42" t="n"/>
    </row>
    <row r="826" ht="15.75" customHeight="1" s="85">
      <c r="B826" s="42" t="n"/>
    </row>
    <row r="827" ht="15.75" customHeight="1" s="85">
      <c r="B827" s="42" t="n"/>
    </row>
    <row r="828" ht="15.75" customHeight="1" s="85">
      <c r="B828" s="42" t="n"/>
    </row>
    <row r="829" ht="15.75" customHeight="1" s="85">
      <c r="B829" s="42" t="n"/>
    </row>
    <row r="830" ht="15.75" customHeight="1" s="85">
      <c r="B830" s="42" t="n"/>
    </row>
    <row r="831" ht="15.75" customHeight="1" s="85">
      <c r="B831" s="42" t="n"/>
    </row>
    <row r="832" ht="15.75" customHeight="1" s="85">
      <c r="B832" s="42" t="n"/>
    </row>
    <row r="833" ht="15.75" customHeight="1" s="85">
      <c r="B833" s="42" t="n"/>
    </row>
    <row r="834" ht="15.75" customHeight="1" s="85">
      <c r="B834" s="42" t="n"/>
    </row>
    <row r="835" ht="15.75" customHeight="1" s="85">
      <c r="B835" s="42" t="n"/>
    </row>
    <row r="836" ht="15.75" customHeight="1" s="85">
      <c r="B836" s="42" t="n"/>
    </row>
    <row r="837" ht="15.75" customHeight="1" s="85">
      <c r="B837" s="42" t="n"/>
    </row>
    <row r="838" ht="15.75" customHeight="1" s="85">
      <c r="B838" s="42" t="n"/>
    </row>
    <row r="839" ht="15.75" customHeight="1" s="85">
      <c r="B839" s="42" t="n"/>
    </row>
    <row r="840" ht="15.75" customHeight="1" s="85">
      <c r="B840" s="42" t="n"/>
    </row>
    <row r="841" ht="15.75" customHeight="1" s="85">
      <c r="B841" s="42" t="n"/>
    </row>
    <row r="842" ht="15.75" customHeight="1" s="85">
      <c r="B842" s="42" t="n"/>
    </row>
    <row r="843" ht="15.75" customHeight="1" s="85">
      <c r="B843" s="42" t="n"/>
    </row>
    <row r="844" ht="15.75" customHeight="1" s="85">
      <c r="B844" s="42" t="n"/>
    </row>
    <row r="845" ht="15.75" customHeight="1" s="85">
      <c r="B845" s="42" t="n"/>
    </row>
    <row r="846" ht="15.75" customHeight="1" s="85">
      <c r="B846" s="42" t="n"/>
    </row>
    <row r="847" ht="15.75" customHeight="1" s="85">
      <c r="B847" s="42" t="n"/>
    </row>
    <row r="848" ht="15.75" customHeight="1" s="85">
      <c r="B848" s="42" t="n"/>
    </row>
    <row r="849" ht="15.75" customHeight="1" s="85">
      <c r="B849" s="42" t="n"/>
    </row>
    <row r="850" ht="15.75" customHeight="1" s="85">
      <c r="B850" s="42" t="n"/>
    </row>
    <row r="851" ht="15.75" customHeight="1" s="85">
      <c r="B851" s="42" t="n"/>
    </row>
    <row r="852" ht="15.75" customHeight="1" s="85">
      <c r="B852" s="42" t="n"/>
    </row>
    <row r="853" ht="15.75" customHeight="1" s="85">
      <c r="B853" s="42" t="n"/>
    </row>
    <row r="854" ht="15.75" customHeight="1" s="85">
      <c r="B854" s="42" t="n"/>
    </row>
    <row r="855" ht="15.75" customHeight="1" s="85">
      <c r="B855" s="42" t="n"/>
    </row>
    <row r="856" ht="15.75" customHeight="1" s="85">
      <c r="B856" s="42" t="n"/>
    </row>
    <row r="857" ht="15.75" customHeight="1" s="85">
      <c r="B857" s="42" t="n"/>
    </row>
    <row r="858" ht="15.75" customHeight="1" s="85">
      <c r="B858" s="42" t="n"/>
    </row>
    <row r="859" ht="15.75" customHeight="1" s="85">
      <c r="B859" s="42" t="n"/>
    </row>
    <row r="860" ht="15.75" customHeight="1" s="85">
      <c r="B860" s="42" t="n"/>
    </row>
    <row r="861" ht="15.75" customHeight="1" s="85">
      <c r="B861" s="42" t="n"/>
    </row>
    <row r="862" ht="15.75" customHeight="1" s="85">
      <c r="B862" s="42" t="n"/>
    </row>
    <row r="863" ht="15.75" customHeight="1" s="85">
      <c r="B863" s="42" t="n"/>
    </row>
    <row r="864" ht="15.75" customHeight="1" s="85">
      <c r="B864" s="42" t="n"/>
    </row>
    <row r="865" ht="15.75" customHeight="1" s="85">
      <c r="B865" s="42" t="n"/>
    </row>
    <row r="866" ht="15.75" customHeight="1" s="85">
      <c r="B866" s="42" t="n"/>
    </row>
    <row r="867" ht="15.75" customHeight="1" s="85">
      <c r="B867" s="42" t="n"/>
    </row>
    <row r="868" ht="15.75" customHeight="1" s="85">
      <c r="B868" s="42" t="n"/>
    </row>
    <row r="869" ht="15.75" customHeight="1" s="85">
      <c r="B869" s="42" t="n"/>
    </row>
    <row r="870" ht="15.75" customHeight="1" s="85">
      <c r="B870" s="42" t="n"/>
    </row>
    <row r="871" ht="15.75" customHeight="1" s="85">
      <c r="B871" s="42" t="n"/>
    </row>
    <row r="872" ht="15.75" customHeight="1" s="85">
      <c r="B872" s="42" t="n"/>
    </row>
    <row r="873" ht="15.75" customHeight="1" s="85">
      <c r="B873" s="42" t="n"/>
    </row>
    <row r="874" ht="15.75" customHeight="1" s="85">
      <c r="B874" s="42" t="n"/>
    </row>
    <row r="875" ht="15.75" customHeight="1" s="85">
      <c r="B875" s="42" t="n"/>
    </row>
    <row r="876" ht="15.75" customHeight="1" s="85">
      <c r="B876" s="42" t="n"/>
    </row>
    <row r="877" ht="15.75" customHeight="1" s="85">
      <c r="B877" s="42" t="n"/>
    </row>
    <row r="878" ht="15.75" customHeight="1" s="85">
      <c r="B878" s="42" t="n"/>
    </row>
    <row r="879" ht="15.75" customHeight="1" s="85">
      <c r="B879" s="42" t="n"/>
    </row>
    <row r="880" ht="15.75" customHeight="1" s="85">
      <c r="B880" s="42" t="n"/>
    </row>
    <row r="881" ht="15.75" customHeight="1" s="85">
      <c r="B881" s="42" t="n"/>
    </row>
    <row r="882" ht="15.75" customHeight="1" s="85">
      <c r="B882" s="42" t="n"/>
    </row>
    <row r="883" ht="15.75" customHeight="1" s="85">
      <c r="B883" s="42" t="n"/>
    </row>
    <row r="884" ht="15.75" customHeight="1" s="85">
      <c r="B884" s="42" t="n"/>
    </row>
    <row r="885" ht="15.75" customHeight="1" s="85">
      <c r="B885" s="42" t="n"/>
    </row>
    <row r="886" ht="15.75" customHeight="1" s="85">
      <c r="B886" s="42" t="n"/>
    </row>
    <row r="887" ht="15.75" customHeight="1" s="85">
      <c r="B887" s="42" t="n"/>
    </row>
    <row r="888" ht="15.75" customHeight="1" s="85">
      <c r="B888" s="42" t="n"/>
    </row>
    <row r="889" ht="15.75" customHeight="1" s="85">
      <c r="B889" s="42" t="n"/>
    </row>
    <row r="890" ht="15.75" customHeight="1" s="85">
      <c r="B890" s="42" t="n"/>
    </row>
    <row r="891" ht="15.75" customHeight="1" s="85">
      <c r="B891" s="42" t="n"/>
    </row>
    <row r="892" ht="15.75" customHeight="1" s="85">
      <c r="B892" s="42" t="n"/>
    </row>
    <row r="893" ht="15.75" customHeight="1" s="85">
      <c r="B893" s="42" t="n"/>
    </row>
    <row r="894" ht="15.75" customHeight="1" s="85">
      <c r="B894" s="42" t="n"/>
    </row>
    <row r="895" ht="15.75" customHeight="1" s="85">
      <c r="B895" s="42" t="n"/>
    </row>
    <row r="896" ht="15.75" customHeight="1" s="85">
      <c r="B896" s="42" t="n"/>
    </row>
    <row r="897" ht="15.75" customHeight="1" s="85">
      <c r="B897" s="42" t="n"/>
    </row>
    <row r="898" ht="15.75" customHeight="1" s="85">
      <c r="B898" s="42" t="n"/>
    </row>
    <row r="899" ht="15.75" customHeight="1" s="85">
      <c r="B899" s="42" t="n"/>
    </row>
    <row r="900" ht="15.75" customHeight="1" s="85">
      <c r="B900" s="42" t="n"/>
    </row>
    <row r="901" ht="15.75" customHeight="1" s="85">
      <c r="B901" s="42" t="n"/>
    </row>
    <row r="902" ht="15.75" customHeight="1" s="85">
      <c r="B902" s="42" t="n"/>
    </row>
    <row r="903" ht="15.75" customHeight="1" s="85">
      <c r="B903" s="42" t="n"/>
    </row>
    <row r="904" ht="15.75" customHeight="1" s="85">
      <c r="B904" s="42" t="n"/>
    </row>
    <row r="905" ht="15.75" customHeight="1" s="85">
      <c r="B905" s="42" t="n"/>
    </row>
    <row r="906" ht="15.75" customHeight="1" s="85">
      <c r="B906" s="42" t="n"/>
    </row>
    <row r="907" ht="15.75" customHeight="1" s="85">
      <c r="B907" s="42" t="n"/>
    </row>
    <row r="908" ht="15.75" customHeight="1" s="85">
      <c r="B908" s="42" t="n"/>
    </row>
    <row r="909" ht="15.75" customHeight="1" s="85">
      <c r="B909" s="42" t="n"/>
    </row>
    <row r="910" ht="15.75" customHeight="1" s="85">
      <c r="B910" s="42" t="n"/>
    </row>
    <row r="911" ht="15.75" customHeight="1" s="85">
      <c r="B911" s="42" t="n"/>
    </row>
    <row r="912" ht="15.75" customHeight="1" s="85">
      <c r="B912" s="42" t="n"/>
    </row>
    <row r="913" ht="15.75" customHeight="1" s="85">
      <c r="B913" s="42" t="n"/>
    </row>
    <row r="914" ht="15.75" customHeight="1" s="85">
      <c r="B914" s="42" t="n"/>
    </row>
    <row r="915" ht="15.75" customHeight="1" s="85">
      <c r="B915" s="42" t="n"/>
    </row>
    <row r="916" ht="15.75" customHeight="1" s="85">
      <c r="B916" s="42" t="n"/>
    </row>
    <row r="917" ht="15.75" customHeight="1" s="85">
      <c r="B917" s="42" t="n"/>
    </row>
    <row r="918" ht="15.75" customHeight="1" s="85">
      <c r="B918" s="42" t="n"/>
    </row>
    <row r="919" ht="15.75" customHeight="1" s="85">
      <c r="B919" s="42" t="n"/>
    </row>
    <row r="920" ht="15.75" customHeight="1" s="85">
      <c r="B920" s="42" t="n"/>
    </row>
    <row r="921" ht="15.75" customHeight="1" s="85">
      <c r="B921" s="42" t="n"/>
    </row>
    <row r="922" ht="15.75" customHeight="1" s="85">
      <c r="B922" s="42" t="n"/>
    </row>
    <row r="923" ht="15.75" customHeight="1" s="85">
      <c r="B923" s="42" t="n"/>
    </row>
    <row r="924" ht="15.75" customHeight="1" s="85">
      <c r="B924" s="42" t="n"/>
    </row>
    <row r="925" ht="15.75" customHeight="1" s="85">
      <c r="B925" s="42" t="n"/>
    </row>
    <row r="926" ht="15.75" customHeight="1" s="85">
      <c r="B926" s="42" t="n"/>
    </row>
    <row r="927" ht="15.75" customHeight="1" s="85">
      <c r="B927" s="42" t="n"/>
    </row>
    <row r="928" ht="15.75" customHeight="1" s="85">
      <c r="B928" s="42" t="n"/>
    </row>
    <row r="929" ht="15.75" customHeight="1" s="85">
      <c r="B929" s="42" t="n"/>
    </row>
    <row r="930" ht="15.75" customHeight="1" s="85">
      <c r="B930" s="42" t="n"/>
    </row>
    <row r="931" ht="15.75" customHeight="1" s="85">
      <c r="B931" s="42" t="n"/>
    </row>
    <row r="932" ht="15.75" customHeight="1" s="85">
      <c r="B932" s="42" t="n"/>
    </row>
    <row r="933" ht="15.75" customHeight="1" s="85">
      <c r="B933" s="42" t="n"/>
    </row>
    <row r="934" ht="15.75" customHeight="1" s="85">
      <c r="B934" s="42" t="n"/>
    </row>
    <row r="935" ht="15.75" customHeight="1" s="85">
      <c r="B935" s="42" t="n"/>
    </row>
    <row r="936" ht="15.75" customHeight="1" s="85">
      <c r="B936" s="42" t="n"/>
    </row>
    <row r="937" ht="15.75" customHeight="1" s="85">
      <c r="B937" s="42" t="n"/>
    </row>
    <row r="938" ht="15.75" customHeight="1" s="85">
      <c r="B938" s="42" t="n"/>
    </row>
    <row r="939" ht="15.75" customHeight="1" s="85">
      <c r="B939" s="42" t="n"/>
    </row>
    <row r="940" ht="15.75" customHeight="1" s="85">
      <c r="B940" s="42" t="n"/>
    </row>
    <row r="941" ht="15.75" customHeight="1" s="85">
      <c r="B941" s="42" t="n"/>
    </row>
    <row r="942" ht="15.75" customHeight="1" s="85">
      <c r="B942" s="42" t="n"/>
    </row>
    <row r="943" ht="15.75" customHeight="1" s="85">
      <c r="B943" s="42" t="n"/>
    </row>
    <row r="944" ht="15.75" customHeight="1" s="85">
      <c r="B944" s="42" t="n"/>
    </row>
    <row r="945" ht="15.75" customHeight="1" s="85">
      <c r="B945" s="42" t="n"/>
    </row>
    <row r="946" ht="15.75" customHeight="1" s="85">
      <c r="B946" s="42" t="n"/>
    </row>
    <row r="947" ht="15.75" customHeight="1" s="85">
      <c r="B947" s="42" t="n"/>
    </row>
    <row r="948" ht="15.75" customHeight="1" s="85">
      <c r="B948" s="42" t="n"/>
    </row>
    <row r="949" ht="15.75" customHeight="1" s="85">
      <c r="B949" s="42" t="n"/>
    </row>
    <row r="950" ht="15.75" customHeight="1" s="85">
      <c r="B950" s="42" t="n"/>
    </row>
    <row r="951" ht="15.75" customHeight="1" s="85">
      <c r="B951" s="42" t="n"/>
    </row>
    <row r="952" ht="15.75" customHeight="1" s="85">
      <c r="B952" s="42" t="n"/>
    </row>
    <row r="953" ht="15.75" customHeight="1" s="85">
      <c r="B953" s="42" t="n"/>
    </row>
    <row r="954" ht="15.75" customHeight="1" s="85">
      <c r="B954" s="42" t="n"/>
    </row>
    <row r="955" ht="15.75" customHeight="1" s="85">
      <c r="B955" s="42" t="n"/>
    </row>
    <row r="956" ht="15.75" customHeight="1" s="85">
      <c r="B956" s="42" t="n"/>
    </row>
    <row r="957" ht="15.75" customHeight="1" s="85">
      <c r="B957" s="42" t="n"/>
    </row>
    <row r="958" ht="15.75" customHeight="1" s="85">
      <c r="B958" s="42" t="n"/>
    </row>
    <row r="959" ht="15.75" customHeight="1" s="85">
      <c r="B959" s="42" t="n"/>
    </row>
    <row r="960" ht="15.75" customHeight="1" s="85">
      <c r="B960" s="42" t="n"/>
    </row>
    <row r="961" ht="15.75" customHeight="1" s="85">
      <c r="B961" s="42" t="n"/>
    </row>
    <row r="962" ht="15.75" customHeight="1" s="85">
      <c r="B962" s="42" t="n"/>
    </row>
    <row r="963" ht="15.75" customHeight="1" s="85">
      <c r="B963" s="42" t="n"/>
    </row>
    <row r="964" ht="15.75" customHeight="1" s="85">
      <c r="B964" s="42" t="n"/>
    </row>
    <row r="965" ht="15.75" customHeight="1" s="85">
      <c r="B965" s="42" t="n"/>
    </row>
    <row r="966" ht="15.75" customHeight="1" s="85">
      <c r="B966" s="42" t="n"/>
    </row>
    <row r="967" ht="15.75" customHeight="1" s="85">
      <c r="B967" s="42" t="n"/>
    </row>
    <row r="968" ht="15.75" customHeight="1" s="85">
      <c r="B968" s="42" t="n"/>
    </row>
    <row r="969" ht="15.75" customHeight="1" s="85">
      <c r="B969" s="42" t="n"/>
    </row>
    <row r="970" ht="15.75" customHeight="1" s="85">
      <c r="B970" s="42" t="n"/>
    </row>
    <row r="971" ht="15.75" customHeight="1" s="85">
      <c r="B971" s="42" t="n"/>
    </row>
    <row r="972" ht="15.75" customHeight="1" s="85">
      <c r="B972" s="42" t="n"/>
    </row>
    <row r="973" ht="15.75" customHeight="1" s="85">
      <c r="B973" s="42" t="n"/>
    </row>
    <row r="974" ht="15.75" customHeight="1" s="85">
      <c r="B974" s="42" t="n"/>
    </row>
    <row r="975" ht="15.75" customHeight="1" s="85">
      <c r="B975" s="42" t="n"/>
    </row>
    <row r="976" ht="15.75" customHeight="1" s="85">
      <c r="B976" s="42" t="n"/>
    </row>
    <row r="977" ht="15.75" customHeight="1" s="85">
      <c r="B977" s="42" t="n"/>
    </row>
    <row r="978" ht="15.75" customHeight="1" s="85">
      <c r="B978" s="42" t="n"/>
    </row>
    <row r="979" ht="15.75" customHeight="1" s="85">
      <c r="B979" s="42" t="n"/>
    </row>
    <row r="980" ht="15.75" customHeight="1" s="85">
      <c r="B980" s="42" t="n"/>
    </row>
    <row r="981" ht="15.75" customHeight="1" s="85">
      <c r="B981" s="42" t="n"/>
    </row>
    <row r="982" ht="15.75" customHeight="1" s="85">
      <c r="B982" s="42" t="n"/>
    </row>
    <row r="983" ht="15.75" customHeight="1" s="85">
      <c r="B983" s="42" t="n"/>
    </row>
    <row r="984" ht="15.75" customHeight="1" s="85">
      <c r="B984" s="42" t="n"/>
    </row>
    <row r="985" ht="15.75" customHeight="1" s="85">
      <c r="B985" s="42" t="n"/>
    </row>
    <row r="986" ht="15.75" customHeight="1" s="85">
      <c r="B986" s="42" t="n"/>
    </row>
    <row r="987" ht="15.75" customHeight="1" s="85">
      <c r="B987" s="42" t="n"/>
    </row>
    <row r="988" ht="15.75" customHeight="1" s="85">
      <c r="B988" s="42" t="n"/>
    </row>
    <row r="989" ht="15.75" customHeight="1" s="85">
      <c r="B989" s="42" t="n"/>
    </row>
    <row r="990" ht="15.75" customHeight="1" s="85">
      <c r="B990" s="42" t="n"/>
    </row>
    <row r="991" ht="15.75" customHeight="1" s="85">
      <c r="B991" s="42" t="n"/>
    </row>
    <row r="992" ht="15.75" customHeight="1" s="85">
      <c r="B992" s="42" t="n"/>
    </row>
    <row r="993" ht="15.75" customHeight="1" s="85">
      <c r="B993" s="42" t="n"/>
    </row>
    <row r="994" ht="15.75" customHeight="1" s="85">
      <c r="B994" s="42" t="n"/>
    </row>
    <row r="995" ht="15.75" customHeight="1" s="85">
      <c r="B995" s="42" t="n"/>
    </row>
    <row r="996" ht="15.75" customHeight="1" s="85">
      <c r="B996" s="42" t="n"/>
    </row>
    <row r="997" ht="15.75" customHeight="1" s="85">
      <c r="B997" s="42" t="n"/>
    </row>
    <row r="998" ht="15.75" customHeight="1" s="85">
      <c r="B998" s="42" t="n"/>
    </row>
    <row r="999" ht="15.75" customHeight="1" s="85">
      <c r="B999" s="42" t="n"/>
    </row>
    <row r="1000" ht="15.75" customHeight="1" s="85">
      <c r="B1000" s="42" t="n"/>
    </row>
  </sheetData>
  <mergeCells count="4">
    <mergeCell ref="B2:J2"/>
    <mergeCell ref="O2:R2"/>
    <mergeCell ref="K2:N2"/>
    <mergeCell ref="S2:V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B7B7B7"/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63" customWidth="1" style="85" min="1" max="1"/>
    <col width="10.13" customWidth="1" style="85" min="2" max="2"/>
    <col width="7.13" customWidth="1" style="85" min="3" max="3"/>
    <col width="13.88" customWidth="1" style="85" min="4" max="4"/>
    <col width="12.38" customWidth="1" style="85" min="5" max="5"/>
    <col width="2.63" customWidth="1" style="85" min="6" max="6"/>
  </cols>
  <sheetData>
    <row r="1" ht="12.75" customHeight="1" s="85">
      <c r="A1" s="62" t="n"/>
      <c r="B1" s="63" t="n"/>
      <c r="C1" s="62" t="n"/>
      <c r="D1" s="62" t="n"/>
      <c r="E1" s="62" t="n"/>
      <c r="F1" s="64" t="n"/>
      <c r="G1" s="65" t="n"/>
      <c r="H1" s="65" t="n"/>
      <c r="I1" s="65" t="n"/>
      <c r="J1" s="65" t="n"/>
      <c r="K1" s="65" t="n"/>
      <c r="L1" s="65" t="n"/>
      <c r="M1" s="65" t="n"/>
      <c r="N1" s="65" t="n"/>
      <c r="O1" s="65" t="n"/>
      <c r="P1" s="65" t="n"/>
      <c r="Q1" s="65" t="n"/>
      <c r="R1" s="65" t="n"/>
      <c r="S1" s="65" t="n"/>
      <c r="T1" s="65" t="n"/>
      <c r="U1" s="65" t="n"/>
      <c r="V1" s="65" t="n"/>
      <c r="W1" s="65" t="n"/>
      <c r="X1" s="65" t="n"/>
      <c r="Y1" s="65" t="n"/>
      <c r="Z1" s="65" t="n"/>
    </row>
    <row r="2" ht="12.75" customHeight="1" s="85">
      <c r="A2" s="62" t="n"/>
      <c r="B2" s="66" t="inlineStr">
        <is>
          <t>date</t>
        </is>
      </c>
      <c r="C2" s="67" t="inlineStr">
        <is>
          <t>currency</t>
        </is>
      </c>
      <c r="D2" s="67" t="inlineStr">
        <is>
          <t>ptax_buy</t>
        </is>
      </c>
      <c r="E2" s="67" t="inlineStr">
        <is>
          <t>ptax_sell</t>
        </is>
      </c>
      <c r="F2" s="64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</row>
    <row r="3" ht="12.75" customHeight="1" s="85">
      <c r="A3" s="62" t="n"/>
      <c r="B3" s="68" t="n">
        <v>45293</v>
      </c>
      <c r="C3" s="69" t="inlineStr">
        <is>
          <t>USD</t>
        </is>
      </c>
      <c r="D3" s="70" t="n">
        <v>4.891</v>
      </c>
      <c r="E3" s="70" t="n">
        <v>4.8916</v>
      </c>
      <c r="F3" s="64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</row>
    <row r="4" ht="12.75" customHeight="1" s="85">
      <c r="A4" s="62" t="n"/>
      <c r="B4" s="68" t="n">
        <v>45294</v>
      </c>
      <c r="C4" s="69" t="inlineStr">
        <is>
          <t>USD</t>
        </is>
      </c>
      <c r="D4" s="70" t="n">
        <v>4.9206</v>
      </c>
      <c r="E4" s="70" t="n">
        <v>4.9212</v>
      </c>
      <c r="F4" s="64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</row>
    <row r="5" ht="12.75" customHeight="1" s="85">
      <c r="A5" s="62" t="n"/>
      <c r="B5" s="68" t="n">
        <v>45295</v>
      </c>
      <c r="C5" s="69" t="inlineStr">
        <is>
          <t>USD</t>
        </is>
      </c>
      <c r="D5" s="70" t="n">
        <v>4.9182</v>
      </c>
      <c r="E5" s="70" t="n">
        <v>4.9188</v>
      </c>
      <c r="F5" s="64" t="n"/>
      <c r="G5" s="65" t="n"/>
      <c r="H5" s="65" t="n"/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</row>
    <row r="6" ht="12.75" customHeight="1" s="85">
      <c r="A6" s="62" t="n"/>
      <c r="B6" s="68" t="n">
        <v>45296</v>
      </c>
      <c r="C6" s="69" t="inlineStr">
        <is>
          <t>USD</t>
        </is>
      </c>
      <c r="D6" s="70" t="n">
        <v>4.8893</v>
      </c>
      <c r="E6" s="70" t="n">
        <v>4.8899</v>
      </c>
      <c r="F6" s="64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</row>
    <row r="7" ht="12.75" customHeight="1" s="85">
      <c r="A7" s="62" t="n"/>
      <c r="B7" s="68" t="n">
        <v>45299</v>
      </c>
      <c r="C7" s="69" t="inlineStr">
        <is>
          <t>USD</t>
        </is>
      </c>
      <c r="D7" s="70" t="n">
        <v>4.8844</v>
      </c>
      <c r="E7" s="70" t="n">
        <v>4.885</v>
      </c>
      <c r="F7" s="64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</row>
    <row r="8" ht="12.75" customHeight="1" s="85">
      <c r="A8" s="62" t="n"/>
      <c r="B8" s="68" t="n">
        <v>45300</v>
      </c>
      <c r="C8" s="69" t="inlineStr">
        <is>
          <t>USD</t>
        </is>
      </c>
      <c r="D8" s="70" t="n">
        <v>4.8931</v>
      </c>
      <c r="E8" s="70" t="n">
        <v>4.8937</v>
      </c>
      <c r="F8" s="64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</row>
    <row r="9" ht="12.75" customHeight="1" s="85">
      <c r="A9" s="62" t="n"/>
      <c r="B9" s="68" t="n">
        <v>45301</v>
      </c>
      <c r="C9" s="69" t="inlineStr">
        <is>
          <t>USD</t>
        </is>
      </c>
      <c r="D9" s="70" t="n">
        <v>4.8895</v>
      </c>
      <c r="E9" s="70" t="n">
        <v>4.8901</v>
      </c>
      <c r="F9" s="64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</row>
    <row r="10" ht="12.75" customHeight="1" s="85">
      <c r="A10" s="62" t="n"/>
      <c r="B10" s="68" t="n">
        <v>45302</v>
      </c>
      <c r="C10" s="69" t="inlineStr">
        <is>
          <t>USD</t>
        </is>
      </c>
      <c r="D10" s="70" t="n">
        <v>4.8788</v>
      </c>
      <c r="E10" s="70" t="n">
        <v>4.8794</v>
      </c>
      <c r="F10" s="64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</row>
    <row r="11" ht="12.75" customHeight="1" s="85">
      <c r="A11" s="62" t="n"/>
      <c r="B11" s="68" t="n">
        <v>45303</v>
      </c>
      <c r="C11" s="69" t="inlineStr">
        <is>
          <t>USD</t>
        </is>
      </c>
      <c r="D11" s="70" t="n">
        <v>4.8537</v>
      </c>
      <c r="E11" s="70" t="n">
        <v>4.8543</v>
      </c>
      <c r="F11" s="64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</row>
    <row r="12" ht="12.75" customHeight="1" s="85">
      <c r="A12" s="62" t="n"/>
      <c r="B12" s="68" t="n">
        <v>45306</v>
      </c>
      <c r="C12" s="69" t="inlineStr">
        <is>
          <t>USD</t>
        </is>
      </c>
      <c r="D12" s="70" t="n">
        <v>4.8759</v>
      </c>
      <c r="E12" s="70" t="n">
        <v>4.8765</v>
      </c>
      <c r="F12" s="64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</row>
    <row r="13" ht="12.75" customHeight="1" s="85">
      <c r="A13" s="62" t="n"/>
      <c r="B13" s="68" t="n">
        <v>45307</v>
      </c>
      <c r="C13" s="69" t="inlineStr">
        <is>
          <t>USD</t>
        </is>
      </c>
      <c r="D13" s="70" t="n">
        <v>4.9032</v>
      </c>
      <c r="E13" s="70" t="n">
        <v>4.9038</v>
      </c>
      <c r="F13" s="64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</row>
    <row r="14" ht="12.75" customHeight="1" s="85">
      <c r="A14" s="62" t="n"/>
      <c r="B14" s="68" t="n">
        <v>45308</v>
      </c>
      <c r="C14" s="69" t="inlineStr">
        <is>
          <t>USD</t>
        </is>
      </c>
      <c r="D14" s="70" t="n">
        <v>4.934</v>
      </c>
      <c r="E14" s="70" t="n">
        <v>4.9346</v>
      </c>
      <c r="F14" s="64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</row>
    <row r="15" ht="12.75" customHeight="1" s="85">
      <c r="A15" s="62" t="n"/>
      <c r="B15" s="68" t="n">
        <v>45309</v>
      </c>
      <c r="C15" s="69" t="inlineStr">
        <is>
          <t>USD</t>
        </is>
      </c>
      <c r="D15" s="70" t="n">
        <v>4.9397</v>
      </c>
      <c r="E15" s="70" t="n">
        <v>4.9403</v>
      </c>
      <c r="F15" s="64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</row>
    <row r="16" ht="12.75" customHeight="1" s="85">
      <c r="A16" s="62" t="n"/>
      <c r="B16" s="68" t="n">
        <v>45310</v>
      </c>
      <c r="C16" s="69" t="inlineStr">
        <is>
          <t>USD</t>
        </is>
      </c>
      <c r="D16" s="70" t="n">
        <v>4.9217</v>
      </c>
      <c r="E16" s="70" t="n">
        <v>4.9223</v>
      </c>
      <c r="F16" s="64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</row>
    <row r="17" ht="12.75" customHeight="1" s="85">
      <c r="A17" s="62" t="n"/>
      <c r="B17" s="68" t="n">
        <v>45313</v>
      </c>
      <c r="C17" s="69" t="inlineStr">
        <is>
          <t>USD</t>
        </is>
      </c>
      <c r="D17" s="70" t="n">
        <v>4.9484</v>
      </c>
      <c r="E17" s="70" t="n">
        <v>4.949</v>
      </c>
      <c r="F17" s="64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</row>
    <row r="18" ht="12.75" customHeight="1" s="85">
      <c r="A18" s="62" t="n"/>
      <c r="B18" s="68" t="n">
        <v>45314</v>
      </c>
      <c r="C18" s="69" t="inlineStr">
        <is>
          <t>USD</t>
        </is>
      </c>
      <c r="D18" s="70" t="n">
        <v>4.9709</v>
      </c>
      <c r="E18" s="70" t="n">
        <v>4.9715</v>
      </c>
      <c r="F18" s="64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</row>
    <row r="19" ht="12.75" customHeight="1" s="85">
      <c r="A19" s="62" t="n"/>
      <c r="B19" s="68" t="n">
        <v>45315</v>
      </c>
      <c r="C19" s="69" t="inlineStr">
        <is>
          <t>USD</t>
        </is>
      </c>
      <c r="D19" s="70" t="n">
        <v>4.9186</v>
      </c>
      <c r="E19" s="70" t="n">
        <v>4.9192</v>
      </c>
      <c r="F19" s="64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</row>
    <row r="20" ht="12.75" customHeight="1" s="85">
      <c r="A20" s="62" t="n"/>
      <c r="B20" s="68" t="n">
        <v>45316</v>
      </c>
      <c r="C20" s="69" t="inlineStr">
        <is>
          <t>USD</t>
        </is>
      </c>
      <c r="D20" s="70" t="n">
        <v>4.9226</v>
      </c>
      <c r="E20" s="70" t="n">
        <v>4.9232</v>
      </c>
      <c r="F20" s="64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 ht="12.75" customHeight="1" s="85">
      <c r="A21" s="62" t="n"/>
      <c r="B21" s="68" t="n">
        <v>45317</v>
      </c>
      <c r="C21" s="69" t="inlineStr">
        <is>
          <t>USD</t>
        </is>
      </c>
      <c r="D21" s="70" t="n">
        <v>4.9119</v>
      </c>
      <c r="E21" s="70" t="n">
        <v>4.9125</v>
      </c>
      <c r="F21" s="64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 ht="12.75" customHeight="1" s="85">
      <c r="A22" s="62" t="n"/>
      <c r="B22" s="68" t="n">
        <v>45320</v>
      </c>
      <c r="C22" s="69" t="inlineStr">
        <is>
          <t>USD</t>
        </is>
      </c>
      <c r="D22" s="70" t="n">
        <v>4.9219</v>
      </c>
      <c r="E22" s="70" t="n">
        <v>4.9225</v>
      </c>
      <c r="F22" s="64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 ht="12.75" customHeight="1" s="85">
      <c r="A23" s="62" t="n"/>
      <c r="B23" s="68" t="n">
        <v>45321</v>
      </c>
      <c r="C23" s="69" t="inlineStr">
        <is>
          <t>USD</t>
        </is>
      </c>
      <c r="D23" s="70" t="n">
        <v>4.9632</v>
      </c>
      <c r="E23" s="70" t="n">
        <v>4.9638</v>
      </c>
      <c r="F23" s="64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 ht="12.75" customHeight="1" s="85">
      <c r="A24" s="62" t="n"/>
      <c r="B24" s="68" t="n">
        <v>45322</v>
      </c>
      <c r="C24" s="69" t="inlineStr">
        <is>
          <t>USD</t>
        </is>
      </c>
      <c r="D24" s="70" t="n">
        <v>4.9529</v>
      </c>
      <c r="E24" s="70" t="n">
        <v>4.9535</v>
      </c>
      <c r="F24" s="64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 ht="12.75" customHeight="1" s="85">
      <c r="A25" s="62" t="n"/>
      <c r="B25" s="68" t="n">
        <v>45323</v>
      </c>
      <c r="C25" s="69" t="inlineStr">
        <is>
          <t>USD</t>
        </is>
      </c>
      <c r="D25" s="70" t="n">
        <v>4.9344</v>
      </c>
      <c r="E25" s="70" t="n">
        <v>4.935</v>
      </c>
      <c r="F25" s="64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 ht="12.75" customHeight="1" s="85">
      <c r="A26" s="62" t="n"/>
      <c r="B26" s="68" t="n">
        <v>45324</v>
      </c>
      <c r="C26" s="69" t="inlineStr">
        <is>
          <t>USD</t>
        </is>
      </c>
      <c r="D26" s="70" t="n">
        <v>4.9465</v>
      </c>
      <c r="E26" s="70" t="n">
        <v>4.9471</v>
      </c>
      <c r="F26" s="64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 ht="12.75" customHeight="1" s="85">
      <c r="A27" s="62" t="n"/>
      <c r="B27" s="68" t="n">
        <v>45327</v>
      </c>
      <c r="C27" s="69" t="inlineStr">
        <is>
          <t>USD</t>
        </is>
      </c>
      <c r="D27" s="70" t="n">
        <v>5.0047</v>
      </c>
      <c r="E27" s="70" t="n">
        <v>5.0053</v>
      </c>
      <c r="F27" s="64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 ht="12.75" customHeight="1" s="85">
      <c r="A28" s="62" t="n"/>
      <c r="B28" s="68" t="n">
        <v>45328</v>
      </c>
      <c r="C28" s="69" t="inlineStr">
        <is>
          <t>USD</t>
        </is>
      </c>
      <c r="D28" s="70" t="n">
        <v>4.9681</v>
      </c>
      <c r="E28" s="70" t="n">
        <v>4.9687</v>
      </c>
      <c r="F28" s="64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 ht="12.75" customHeight="1" s="85">
      <c r="A29" s="62" t="n"/>
      <c r="B29" s="68" t="n">
        <v>45329</v>
      </c>
      <c r="C29" s="69" t="inlineStr">
        <is>
          <t>USD</t>
        </is>
      </c>
      <c r="D29" s="70" t="n">
        <v>4.9602</v>
      </c>
      <c r="E29" s="70" t="n">
        <v>4.9608</v>
      </c>
      <c r="F29" s="64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 ht="12.75" customHeight="1" s="85">
      <c r="A30" s="62" t="n"/>
      <c r="B30" s="68" t="n">
        <v>45330</v>
      </c>
      <c r="C30" s="69" t="inlineStr">
        <is>
          <t>USD</t>
        </is>
      </c>
      <c r="D30" s="70" t="n">
        <v>4.9798</v>
      </c>
      <c r="E30" s="70" t="n">
        <v>4.9804</v>
      </c>
      <c r="F30" s="64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 ht="12.75" customHeight="1" s="85">
      <c r="A31" s="62" t="n"/>
      <c r="B31" s="68" t="n">
        <v>45331</v>
      </c>
      <c r="C31" s="69" t="inlineStr">
        <is>
          <t>USD</t>
        </is>
      </c>
      <c r="D31" s="70" t="n">
        <v>4.9711</v>
      </c>
      <c r="E31" s="70" t="n">
        <v>4.9717</v>
      </c>
      <c r="F31" s="64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 ht="12.75" customHeight="1" s="85">
      <c r="A32" s="62" t="n"/>
      <c r="B32" s="68" t="n">
        <v>45336</v>
      </c>
      <c r="C32" s="69" t="inlineStr">
        <is>
          <t>USD</t>
        </is>
      </c>
      <c r="D32" s="70" t="n">
        <v>4.9717</v>
      </c>
      <c r="E32" s="70" t="n">
        <v>4.9723</v>
      </c>
      <c r="F32" s="64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 ht="12.75" customHeight="1" s="85">
      <c r="A33" s="62" t="n"/>
      <c r="B33" s="68" t="n">
        <v>45337</v>
      </c>
      <c r="C33" s="69" t="inlineStr">
        <is>
          <t>USD</t>
        </is>
      </c>
      <c r="D33" s="70" t="n">
        <v>4.9704</v>
      </c>
      <c r="E33" s="70" t="n">
        <v>4.971</v>
      </c>
      <c r="F33" s="64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 ht="12.75" customHeight="1" s="85">
      <c r="A34" s="62" t="n"/>
      <c r="B34" s="68" t="n">
        <v>45338</v>
      </c>
      <c r="C34" s="69" t="inlineStr">
        <is>
          <t>USD</t>
        </is>
      </c>
      <c r="D34" s="70" t="n">
        <v>4.9755</v>
      </c>
      <c r="E34" s="70" t="n">
        <v>4.9761</v>
      </c>
      <c r="F34" s="64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 ht="12.75" customHeight="1" s="85">
      <c r="A35" s="62" t="n"/>
      <c r="B35" s="68" t="n">
        <v>45341</v>
      </c>
      <c r="C35" s="69" t="inlineStr">
        <is>
          <t>USD</t>
        </is>
      </c>
      <c r="D35" s="70" t="n">
        <v>4.9579</v>
      </c>
      <c r="E35" s="70" t="n">
        <v>4.9585</v>
      </c>
      <c r="F35" s="64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 ht="12.75" customHeight="1" s="85">
      <c r="A36" s="62" t="n"/>
      <c r="B36" s="68" t="n">
        <v>45342</v>
      </c>
      <c r="C36" s="69" t="inlineStr">
        <is>
          <t>USD</t>
        </is>
      </c>
      <c r="D36" s="70" t="n">
        <v>4.9402</v>
      </c>
      <c r="E36" s="70" t="n">
        <v>4.9408</v>
      </c>
      <c r="F36" s="64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 ht="12.75" customHeight="1" s="85">
      <c r="A37" s="62" t="n"/>
      <c r="B37" s="68" t="n">
        <v>45343</v>
      </c>
      <c r="C37" s="69" t="inlineStr">
        <is>
          <t>USD</t>
        </is>
      </c>
      <c r="D37" s="70" t="n">
        <v>4.9297</v>
      </c>
      <c r="E37" s="70" t="n">
        <v>4.9303</v>
      </c>
      <c r="F37" s="64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 ht="12.75" customHeight="1" s="85">
      <c r="A38" s="62" t="n"/>
      <c r="B38" s="68" t="n">
        <v>45344</v>
      </c>
      <c r="C38" s="69" t="inlineStr">
        <is>
          <t>USD</t>
        </is>
      </c>
      <c r="D38" s="70" t="n">
        <v>4.9413</v>
      </c>
      <c r="E38" s="70" t="n">
        <v>4.9419</v>
      </c>
      <c r="F38" s="64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</row>
    <row r="39" ht="12.75" customHeight="1" s="85">
      <c r="A39" s="62" t="n"/>
      <c r="B39" s="68" t="n">
        <v>45345</v>
      </c>
      <c r="C39" s="69" t="inlineStr">
        <is>
          <t>USD</t>
        </is>
      </c>
      <c r="D39" s="70" t="n">
        <v>4.9845</v>
      </c>
      <c r="E39" s="70" t="n">
        <v>4.9851</v>
      </c>
      <c r="F39" s="64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</row>
    <row r="40" ht="12.75" customHeight="1" s="85">
      <c r="A40" s="62" t="n"/>
      <c r="B40" s="68" t="n">
        <v>45348</v>
      </c>
      <c r="C40" s="69" t="inlineStr">
        <is>
          <t>USD</t>
        </is>
      </c>
      <c r="D40" s="70" t="n">
        <v>4.9813</v>
      </c>
      <c r="E40" s="70" t="n">
        <v>4.9819</v>
      </c>
      <c r="F40" s="64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</row>
    <row r="41" ht="12.75" customHeight="1" s="85">
      <c r="A41" s="62" t="n"/>
      <c r="B41" s="68" t="n">
        <v>45349</v>
      </c>
      <c r="C41" s="69" t="inlineStr">
        <is>
          <t>USD</t>
        </is>
      </c>
      <c r="D41" s="70" t="n">
        <v>4.9569</v>
      </c>
      <c r="E41" s="70" t="n">
        <v>4.9575</v>
      </c>
      <c r="F41" s="64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</row>
    <row r="42" ht="12.75" customHeight="1" s="85">
      <c r="A42" s="62" t="n"/>
      <c r="B42" s="68" t="n">
        <v>45350</v>
      </c>
      <c r="C42" s="69" t="inlineStr">
        <is>
          <t>USD</t>
        </is>
      </c>
      <c r="D42" s="70" t="n">
        <v>4.9551</v>
      </c>
      <c r="E42" s="70" t="n">
        <v>4.9557</v>
      </c>
      <c r="F42" s="64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</row>
    <row r="43" ht="12.75" customHeight="1" s="85">
      <c r="A43" s="62" t="n"/>
      <c r="B43" s="68" t="n">
        <v>45351</v>
      </c>
      <c r="C43" s="69" t="inlineStr">
        <is>
          <t>USD</t>
        </is>
      </c>
      <c r="D43" s="70" t="n">
        <v>4.9827</v>
      </c>
      <c r="E43" s="70" t="n">
        <v>4.9833</v>
      </c>
      <c r="F43" s="64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</row>
    <row r="44" ht="12.75" customHeight="1" s="85">
      <c r="A44" s="62" t="n"/>
      <c r="B44" s="68" t="n">
        <v>45352</v>
      </c>
      <c r="C44" s="69" t="inlineStr">
        <is>
          <t>USD</t>
        </is>
      </c>
      <c r="D44" s="70" t="n">
        <v>4.959</v>
      </c>
      <c r="E44" s="70" t="n">
        <v>4.9596</v>
      </c>
      <c r="F44" s="64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</row>
    <row r="45" ht="12.75" customHeight="1" s="85">
      <c r="A45" s="62" t="n"/>
      <c r="B45" s="68" t="n">
        <v>45355</v>
      </c>
      <c r="C45" s="69" t="inlineStr">
        <is>
          <t>USD</t>
        </is>
      </c>
      <c r="D45" s="70" t="n">
        <v>4.9469</v>
      </c>
      <c r="E45" s="70" t="n">
        <v>4.9475</v>
      </c>
      <c r="F45" s="64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</row>
    <row r="46" ht="12.75" customHeight="1" s="85">
      <c r="A46" s="62" t="n"/>
      <c r="B46" s="68" t="n">
        <v>45356</v>
      </c>
      <c r="C46" s="69" t="inlineStr">
        <is>
          <t>USD</t>
        </is>
      </c>
      <c r="D46" s="70" t="n">
        <v>4.9482</v>
      </c>
      <c r="E46" s="70" t="n">
        <v>4.9488</v>
      </c>
      <c r="F46" s="64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</row>
    <row r="47" ht="12.75" customHeight="1" s="85">
      <c r="A47" s="62" t="n"/>
      <c r="B47" s="68" t="n">
        <v>45357</v>
      </c>
      <c r="C47" s="69" t="inlineStr">
        <is>
          <t>USD</t>
        </is>
      </c>
      <c r="D47" s="70" t="n">
        <v>4.9392</v>
      </c>
      <c r="E47" s="70" t="n">
        <v>4.9398</v>
      </c>
      <c r="F47" s="64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</row>
    <row r="48" ht="12.75" customHeight="1" s="85">
      <c r="A48" s="62" t="n"/>
      <c r="B48" s="68" t="n">
        <v>45358</v>
      </c>
      <c r="C48" s="69" t="inlineStr">
        <is>
          <t>USD</t>
        </is>
      </c>
      <c r="D48" s="70" t="n">
        <v>4.9358</v>
      </c>
      <c r="E48" s="70" t="n">
        <v>4.9364</v>
      </c>
      <c r="F48" s="64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</row>
    <row r="49" ht="12.75" customHeight="1" s="85">
      <c r="A49" s="62" t="n"/>
      <c r="B49" s="68" t="n">
        <v>45359</v>
      </c>
      <c r="C49" s="69" t="inlineStr">
        <is>
          <t>USD</t>
        </is>
      </c>
      <c r="D49" s="70" t="n">
        <v>4.9745</v>
      </c>
      <c r="E49" s="70" t="n">
        <v>4.9751</v>
      </c>
      <c r="F49" s="64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</row>
    <row r="50" ht="12.75" customHeight="1" s="85">
      <c r="A50" s="62" t="n"/>
      <c r="B50" s="68" t="n">
        <v>45362</v>
      </c>
      <c r="C50" s="69" t="inlineStr">
        <is>
          <t>USD</t>
        </is>
      </c>
      <c r="D50" s="70" t="n">
        <v>4.9771</v>
      </c>
      <c r="E50" s="70" t="n">
        <v>4.9777</v>
      </c>
      <c r="F50" s="64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</row>
    <row r="51" ht="12.75" customHeight="1" s="85">
      <c r="A51" s="62" t="n"/>
      <c r="B51" s="68" t="n">
        <v>45363</v>
      </c>
      <c r="C51" s="69" t="inlineStr">
        <is>
          <t>USD</t>
        </is>
      </c>
      <c r="D51" s="70" t="n">
        <v>4.9807</v>
      </c>
      <c r="E51" s="70" t="n">
        <v>4.9813</v>
      </c>
      <c r="F51" s="64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</row>
    <row r="52" ht="12.75" customHeight="1" s="85">
      <c r="A52" s="62" t="n"/>
      <c r="B52" s="68" t="n">
        <v>45364</v>
      </c>
      <c r="C52" s="69" t="inlineStr">
        <is>
          <t>USD</t>
        </is>
      </c>
      <c r="D52" s="70" t="n">
        <v>4.9797</v>
      </c>
      <c r="E52" s="70" t="n">
        <v>4.9803</v>
      </c>
      <c r="F52" s="64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</row>
    <row r="53" ht="12.75" customHeight="1" s="85">
      <c r="A53" s="62" t="n"/>
      <c r="B53" s="68" t="n">
        <v>45365</v>
      </c>
      <c r="C53" s="69" t="inlineStr">
        <is>
          <t>USD</t>
        </is>
      </c>
      <c r="D53" s="70" t="n">
        <v>4.9762</v>
      </c>
      <c r="E53" s="70" t="n">
        <v>4.9768</v>
      </c>
      <c r="F53" s="64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</row>
    <row r="54" ht="12.75" customHeight="1" s="85">
      <c r="A54" s="62" t="n"/>
      <c r="B54" s="68" t="n">
        <v>45366</v>
      </c>
      <c r="C54" s="69" t="inlineStr">
        <is>
          <t>USD</t>
        </is>
      </c>
      <c r="D54" s="70" t="n">
        <v>4.9931</v>
      </c>
      <c r="E54" s="70" t="n">
        <v>4.9937</v>
      </c>
      <c r="F54" s="64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</row>
    <row r="55" ht="12.75" customHeight="1" s="85">
      <c r="A55" s="62" t="n"/>
      <c r="B55" s="68" t="n">
        <v>45369</v>
      </c>
      <c r="C55" s="69" t="inlineStr">
        <is>
          <t>USD</t>
        </is>
      </c>
      <c r="D55" s="70" t="n">
        <v>5.0118</v>
      </c>
      <c r="E55" s="70" t="n">
        <v>5.0124</v>
      </c>
      <c r="F55" s="64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</row>
    <row r="56" ht="12.75" customHeight="1" s="85">
      <c r="A56" s="62" t="n"/>
      <c r="B56" s="68" t="n">
        <v>45370</v>
      </c>
      <c r="C56" s="69" t="inlineStr">
        <is>
          <t>USD</t>
        </is>
      </c>
      <c r="D56" s="70" t="n">
        <v>5.0346</v>
      </c>
      <c r="E56" s="70" t="n">
        <v>5.0352</v>
      </c>
      <c r="F56" s="64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</row>
    <row r="57" ht="12.75" customHeight="1" s="85">
      <c r="A57" s="62" t="n"/>
      <c r="B57" s="68" t="n">
        <v>45371</v>
      </c>
      <c r="C57" s="69" t="inlineStr">
        <is>
          <t>USD</t>
        </is>
      </c>
      <c r="D57" s="70" t="n">
        <v>5.0114</v>
      </c>
      <c r="E57" s="70" t="n">
        <v>5.012</v>
      </c>
      <c r="F57" s="64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</row>
    <row r="58" ht="12.75" customHeight="1" s="85">
      <c r="A58" s="62" t="n"/>
      <c r="B58" s="68" t="n">
        <v>45372</v>
      </c>
      <c r="C58" s="69" t="inlineStr">
        <is>
          <t>USD</t>
        </is>
      </c>
      <c r="D58" s="70" t="n">
        <v>4.9801</v>
      </c>
      <c r="E58" s="70" t="n">
        <v>4.9807</v>
      </c>
      <c r="F58" s="64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</row>
    <row r="59" ht="12.75" customHeight="1" s="85">
      <c r="A59" s="62" t="n"/>
      <c r="B59" s="68" t="n">
        <v>45373</v>
      </c>
      <c r="C59" s="69" t="inlineStr">
        <is>
          <t>USD</t>
        </is>
      </c>
      <c r="D59" s="70" t="n">
        <v>4.9891</v>
      </c>
      <c r="E59" s="70" t="n">
        <v>4.9897</v>
      </c>
      <c r="F59" s="64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</row>
    <row r="60" ht="12.75" customHeight="1" s="85">
      <c r="A60" s="62" t="n"/>
      <c r="B60" s="68" t="n">
        <v>45376</v>
      </c>
      <c r="C60" s="69" t="inlineStr">
        <is>
          <t>USD</t>
        </is>
      </c>
      <c r="D60" s="70" t="n">
        <v>4.9863</v>
      </c>
      <c r="E60" s="70" t="n">
        <v>4.9869</v>
      </c>
      <c r="F60" s="64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</row>
    <row r="61" ht="12.75" customHeight="1" s="85">
      <c r="A61" s="62" t="n"/>
      <c r="B61" s="68" t="n">
        <v>45377</v>
      </c>
      <c r="C61" s="69" t="inlineStr">
        <is>
          <t>USD</t>
        </is>
      </c>
      <c r="D61" s="70" t="n">
        <v>4.9864</v>
      </c>
      <c r="E61" s="70" t="n">
        <v>4.987</v>
      </c>
      <c r="F61" s="64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</row>
    <row r="62" ht="12.75" customHeight="1" s="85">
      <c r="A62" s="62" t="n"/>
      <c r="B62" s="68" t="n">
        <v>45378</v>
      </c>
      <c r="C62" s="69" t="inlineStr">
        <is>
          <t>USD</t>
        </is>
      </c>
      <c r="D62" s="70" t="n">
        <v>4.985</v>
      </c>
      <c r="E62" s="70" t="n">
        <v>4.9856</v>
      </c>
      <c r="F62" s="64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</row>
    <row r="63" ht="12.75" customHeight="1" s="85">
      <c r="A63" s="62" t="n"/>
      <c r="B63" s="68" t="n">
        <v>45379</v>
      </c>
      <c r="C63" s="69" t="inlineStr">
        <is>
          <t>USD</t>
        </is>
      </c>
      <c r="D63" s="70" t="n">
        <v>4.9956</v>
      </c>
      <c r="E63" s="70" t="n">
        <v>4.9962</v>
      </c>
      <c r="F63" s="64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</row>
    <row r="64" ht="12.75" customHeight="1" s="85">
      <c r="A64" s="62" t="n"/>
      <c r="B64" s="68" t="n">
        <v>45383</v>
      </c>
      <c r="C64" s="69" t="inlineStr">
        <is>
          <t>USD</t>
        </is>
      </c>
      <c r="D64" s="70" t="n">
        <v>5.0526</v>
      </c>
      <c r="E64" s="70" t="n">
        <v>5.0532</v>
      </c>
      <c r="F64" s="64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</row>
    <row r="65" ht="12.75" customHeight="1" s="85">
      <c r="A65" s="62" t="n"/>
      <c r="B65" s="68" t="n">
        <v>45384</v>
      </c>
      <c r="C65" s="69" t="inlineStr">
        <is>
          <t>USD</t>
        </is>
      </c>
      <c r="D65" s="70" t="n">
        <v>5.0469</v>
      </c>
      <c r="E65" s="70" t="n">
        <v>5.0476</v>
      </c>
      <c r="F65" s="64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</row>
    <row r="66" ht="12.75" customHeight="1" s="85">
      <c r="A66" s="62" t="n"/>
      <c r="B66" s="68" t="n">
        <v>45385</v>
      </c>
      <c r="C66" s="69" t="inlineStr">
        <is>
          <t>USD</t>
        </is>
      </c>
      <c r="D66" s="70" t="n">
        <v>5.0718</v>
      </c>
      <c r="E66" s="70" t="n">
        <v>5.0724</v>
      </c>
      <c r="F66" s="64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65" t="n"/>
      <c r="Z66" s="65" t="n"/>
    </row>
    <row r="67" ht="12.75" customHeight="1" s="85">
      <c r="A67" s="62" t="n"/>
      <c r="B67" s="68" t="n">
        <v>45386</v>
      </c>
      <c r="C67" s="69" t="inlineStr">
        <is>
          <t>USD</t>
        </is>
      </c>
      <c r="D67" s="70" t="n">
        <v>5.0231</v>
      </c>
      <c r="E67" s="70" t="n">
        <v>5.0237</v>
      </c>
      <c r="F67" s="64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65" t="n"/>
      <c r="Z67" s="65" t="n"/>
    </row>
    <row r="68" ht="12.75" customHeight="1" s="85">
      <c r="A68" s="62" t="n"/>
      <c r="B68" s="68" t="n">
        <v>45387</v>
      </c>
      <c r="C68" s="69" t="inlineStr">
        <is>
          <t>USD</t>
        </is>
      </c>
      <c r="D68" s="70" t="n">
        <v>5.0514</v>
      </c>
      <c r="E68" s="70" t="n">
        <v>5.052</v>
      </c>
      <c r="F68" s="64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</row>
    <row r="69" ht="12.75" customHeight="1" s="85">
      <c r="A69" s="62" t="n"/>
      <c r="B69" s="68" t="n">
        <v>45390</v>
      </c>
      <c r="C69" s="69" t="inlineStr">
        <is>
          <t>USD</t>
        </is>
      </c>
      <c r="D69" s="70" t="n">
        <v>5.0415</v>
      </c>
      <c r="E69" s="70" t="n">
        <v>5.0421</v>
      </c>
      <c r="F69" s="64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</row>
    <row r="70" ht="12.75" customHeight="1" s="85">
      <c r="A70" s="62" t="n"/>
      <c r="B70" s="68" t="n">
        <v>45391</v>
      </c>
      <c r="C70" s="69" t="inlineStr">
        <is>
          <t>USD</t>
        </is>
      </c>
      <c r="D70" s="70" t="n">
        <v>5.0074</v>
      </c>
      <c r="E70" s="70" t="n">
        <v>5.008</v>
      </c>
      <c r="F70" s="64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65" t="n"/>
      <c r="Z70" s="65" t="n"/>
    </row>
    <row r="71" ht="12.75" customHeight="1" s="85">
      <c r="A71" s="62" t="n"/>
      <c r="B71" s="68" t="n">
        <v>45392</v>
      </c>
      <c r="C71" s="69" t="inlineStr">
        <is>
          <t>USD</t>
        </is>
      </c>
      <c r="D71" s="70" t="n">
        <v>5.0648</v>
      </c>
      <c r="E71" s="70" t="n">
        <v>5.0654</v>
      </c>
      <c r="F71" s="64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65" t="n"/>
      <c r="Z71" s="65" t="n"/>
    </row>
    <row r="72" ht="12.75" customHeight="1" s="85">
      <c r="A72" s="62" t="n"/>
      <c r="B72" s="68" t="n">
        <v>45393</v>
      </c>
      <c r="C72" s="69" t="inlineStr">
        <is>
          <t>USD</t>
        </is>
      </c>
      <c r="D72" s="70" t="n">
        <v>5.0759</v>
      </c>
      <c r="E72" s="70" t="n">
        <v>5.0765</v>
      </c>
      <c r="F72" s="64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65" t="n"/>
      <c r="Z72" s="65" t="n"/>
    </row>
    <row r="73" ht="12.75" customHeight="1" s="85">
      <c r="A73" s="62" t="n"/>
      <c r="B73" s="68" t="n">
        <v>45394</v>
      </c>
      <c r="C73" s="69" t="inlineStr">
        <is>
          <t>USD</t>
        </is>
      </c>
      <c r="D73" s="70" t="n">
        <v>5.1358</v>
      </c>
      <c r="E73" s="70" t="n">
        <v>5.1364</v>
      </c>
      <c r="F73" s="64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</row>
    <row r="74" ht="12.75" customHeight="1" s="85">
      <c r="A74" s="62" t="n"/>
      <c r="B74" s="68" t="n">
        <v>45397</v>
      </c>
      <c r="C74" s="69" t="inlineStr">
        <is>
          <t>USD</t>
        </is>
      </c>
      <c r="D74" s="70" t="n">
        <v>5.174</v>
      </c>
      <c r="E74" s="70" t="n">
        <v>5.1746</v>
      </c>
      <c r="F74" s="64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</row>
    <row r="75" ht="12.75" customHeight="1" s="85">
      <c r="A75" s="62" t="n"/>
      <c r="B75" s="68" t="n">
        <v>45398</v>
      </c>
      <c r="C75" s="69" t="inlineStr">
        <is>
          <t>USD</t>
        </is>
      </c>
      <c r="D75" s="70" t="n">
        <v>5.2628</v>
      </c>
      <c r="E75" s="70" t="n">
        <v>5.2635</v>
      </c>
      <c r="F75" s="64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</row>
    <row r="76" ht="12.75" customHeight="1" s="85">
      <c r="A76" s="62" t="n"/>
      <c r="B76" s="68" t="n">
        <v>45399</v>
      </c>
      <c r="C76" s="69" t="inlineStr">
        <is>
          <t>USD</t>
        </is>
      </c>
      <c r="D76" s="70" t="n">
        <v>5.2463</v>
      </c>
      <c r="E76" s="70" t="n">
        <v>5.2469</v>
      </c>
      <c r="F76" s="64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</row>
    <row r="77" ht="12.75" customHeight="1" s="85">
      <c r="A77" s="62" t="n"/>
      <c r="B77" s="68" t="n">
        <v>45400</v>
      </c>
      <c r="C77" s="69" t="inlineStr">
        <is>
          <t>USD</t>
        </is>
      </c>
      <c r="D77" s="70" t="n">
        <v>5.2506</v>
      </c>
      <c r="E77" s="70" t="n">
        <v>5.2512</v>
      </c>
      <c r="F77" s="64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</row>
    <row r="78" ht="12.75" customHeight="1" s="85">
      <c r="A78" s="62" t="n"/>
      <c r="B78" s="68" t="n">
        <v>45401</v>
      </c>
      <c r="C78" s="69" t="inlineStr">
        <is>
          <t>USD</t>
        </is>
      </c>
      <c r="D78" s="70" t="n">
        <v>5.2263</v>
      </c>
      <c r="E78" s="70" t="n">
        <v>5.2269</v>
      </c>
      <c r="F78" s="64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65" t="n"/>
      <c r="Z78" s="65" t="n"/>
    </row>
    <row r="79" ht="12.75" customHeight="1" s="85">
      <c r="A79" s="62" t="n"/>
      <c r="B79" s="68" t="n">
        <v>45404</v>
      </c>
      <c r="C79" s="69" t="inlineStr">
        <is>
          <t>USD</t>
        </is>
      </c>
      <c r="D79" s="70" t="n">
        <v>5.2037</v>
      </c>
      <c r="E79" s="70" t="n">
        <v>5.2043</v>
      </c>
      <c r="F79" s="64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65" t="n"/>
      <c r="Z79" s="65" t="n"/>
    </row>
    <row r="80" ht="12.75" customHeight="1" s="85">
      <c r="A80" s="62" t="n"/>
      <c r="B80" s="68" t="n">
        <v>45405</v>
      </c>
      <c r="C80" s="69" t="inlineStr">
        <is>
          <t>USD</t>
        </is>
      </c>
      <c r="D80" s="70" t="n">
        <v>5.162</v>
      </c>
      <c r="E80" s="70" t="n">
        <v>5.1626</v>
      </c>
      <c r="F80" s="64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65" t="n"/>
      <c r="Z80" s="65" t="n"/>
    </row>
    <row r="81" ht="12.75" customHeight="1" s="85">
      <c r="A81" s="62" t="n"/>
      <c r="B81" s="68" t="n">
        <v>45406</v>
      </c>
      <c r="C81" s="69" t="inlineStr">
        <is>
          <t>USD</t>
        </is>
      </c>
      <c r="D81" s="70" t="n">
        <v>5.1586</v>
      </c>
      <c r="E81" s="70" t="n">
        <v>5.1592</v>
      </c>
      <c r="F81" s="64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65" t="n"/>
      <c r="Z81" s="65" t="n"/>
    </row>
    <row r="82" ht="12.75" customHeight="1" s="85">
      <c r="A82" s="62" t="n"/>
      <c r="B82" s="68" t="n">
        <v>45407</v>
      </c>
      <c r="C82" s="69" t="inlineStr">
        <is>
          <t>USD</t>
        </is>
      </c>
      <c r="D82" s="70" t="n">
        <v>5.1673</v>
      </c>
      <c r="E82" s="70" t="n">
        <v>5.1679</v>
      </c>
      <c r="F82" s="64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65" t="n"/>
      <c r="Z82" s="65" t="n"/>
    </row>
    <row r="83" ht="12.75" customHeight="1" s="85">
      <c r="A83" s="62" t="n"/>
      <c r="B83" s="68" t="n">
        <v>45408</v>
      </c>
      <c r="C83" s="69" t="inlineStr">
        <is>
          <t>USD</t>
        </is>
      </c>
      <c r="D83" s="70" t="n">
        <v>5.1178</v>
      </c>
      <c r="E83" s="70" t="n">
        <v>5.1184</v>
      </c>
      <c r="F83" s="64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65" t="n"/>
      <c r="Z83" s="65" t="n"/>
    </row>
    <row r="84" ht="12.75" customHeight="1" s="85">
      <c r="A84" s="62" t="n"/>
      <c r="B84" s="68" t="n">
        <v>45411</v>
      </c>
      <c r="C84" s="69" t="inlineStr">
        <is>
          <t>USD</t>
        </is>
      </c>
      <c r="D84" s="70" t="n">
        <v>5.1149</v>
      </c>
      <c r="E84" s="70" t="n">
        <v>5.1155</v>
      </c>
      <c r="F84" s="64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65" t="n"/>
      <c r="Z84" s="65" t="n"/>
    </row>
    <row r="85" ht="12.75" customHeight="1" s="85">
      <c r="A85" s="62" t="n"/>
      <c r="B85" s="68" t="n">
        <v>45412</v>
      </c>
      <c r="C85" s="69" t="inlineStr">
        <is>
          <t>USD</t>
        </is>
      </c>
      <c r="D85" s="70" t="n">
        <v>5.1712</v>
      </c>
      <c r="E85" s="70" t="n">
        <v>5.1718</v>
      </c>
      <c r="F85" s="64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65" t="n"/>
      <c r="Z85" s="65" t="n"/>
    </row>
    <row r="86" ht="12.75" customHeight="1" s="85">
      <c r="A86" s="62" t="n"/>
      <c r="B86" s="68" t="n">
        <v>45414</v>
      </c>
      <c r="C86" s="69" t="inlineStr">
        <is>
          <t>USD</t>
        </is>
      </c>
      <c r="D86" s="70" t="n">
        <v>5.1178</v>
      </c>
      <c r="E86" s="70" t="n">
        <v>5.1184</v>
      </c>
      <c r="F86" s="64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65" t="n"/>
      <c r="Z86" s="65" t="n"/>
    </row>
    <row r="87" ht="12.75" customHeight="1" s="85">
      <c r="A87" s="62" t="n"/>
      <c r="B87" s="68" t="n">
        <v>45415</v>
      </c>
      <c r="C87" s="69" t="inlineStr">
        <is>
          <t>USD</t>
        </is>
      </c>
      <c r="D87" s="70" t="n">
        <v>5.0662</v>
      </c>
      <c r="E87" s="70" t="n">
        <v>5.0668</v>
      </c>
      <c r="F87" s="64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65" t="n"/>
      <c r="Z87" s="65" t="n"/>
    </row>
    <row r="88" ht="12.75" customHeight="1" s="85">
      <c r="A88" s="62" t="n"/>
      <c r="B88" s="68" t="n">
        <v>45418</v>
      </c>
      <c r="C88" s="69" t="inlineStr">
        <is>
          <t>USD</t>
        </is>
      </c>
      <c r="D88" s="70" t="n">
        <v>5.0721</v>
      </c>
      <c r="E88" s="70" t="n">
        <v>5.0727</v>
      </c>
      <c r="F88" s="64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65" t="n"/>
      <c r="Z88" s="65" t="n"/>
    </row>
    <row r="89" ht="12.75" customHeight="1" s="85">
      <c r="A89" s="62" t="n"/>
      <c r="B89" s="68" t="n">
        <v>45419</v>
      </c>
      <c r="C89" s="69" t="inlineStr">
        <is>
          <t>USD</t>
        </is>
      </c>
      <c r="D89" s="70" t="n">
        <v>5.0604</v>
      </c>
      <c r="E89" s="70" t="n">
        <v>5.061</v>
      </c>
      <c r="F89" s="64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65" t="n"/>
      <c r="Z89" s="65" t="n"/>
    </row>
    <row r="90" ht="12.75" customHeight="1" s="85">
      <c r="A90" s="62" t="n"/>
      <c r="B90" s="68" t="n">
        <v>45420</v>
      </c>
      <c r="C90" s="69" t="inlineStr">
        <is>
          <t>USD</t>
        </is>
      </c>
      <c r="D90" s="70" t="n">
        <v>5.0881</v>
      </c>
      <c r="E90" s="70" t="n">
        <v>5.0887</v>
      </c>
      <c r="F90" s="64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65" t="n"/>
      <c r="Z90" s="65" t="n"/>
    </row>
    <row r="91" ht="12.75" customHeight="1" s="85">
      <c r="A91" s="62" t="n"/>
      <c r="B91" s="68" t="n">
        <v>45421</v>
      </c>
      <c r="C91" s="69" t="inlineStr">
        <is>
          <t>USD</t>
        </is>
      </c>
      <c r="D91" s="70" t="n">
        <v>5.1571</v>
      </c>
      <c r="E91" s="70" t="n">
        <v>5.1577</v>
      </c>
      <c r="F91" s="64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65" t="n"/>
      <c r="Z91" s="65" t="n"/>
    </row>
    <row r="92" ht="12.75" customHeight="1" s="85">
      <c r="A92" s="62" t="n"/>
      <c r="B92" s="68" t="n">
        <v>45422</v>
      </c>
      <c r="C92" s="69" t="inlineStr">
        <is>
          <t>USD</t>
        </is>
      </c>
      <c r="D92" s="70" t="n">
        <v>5.1458</v>
      </c>
      <c r="E92" s="70" t="n">
        <v>5.1464</v>
      </c>
      <c r="F92" s="64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65" t="n"/>
      <c r="Z92" s="65" t="n"/>
    </row>
    <row r="93" ht="12.75" customHeight="1" s="85">
      <c r="A93" s="62" t="n"/>
      <c r="B93" s="68" t="n">
        <v>45425</v>
      </c>
      <c r="C93" s="69" t="inlineStr">
        <is>
          <t>USD</t>
        </is>
      </c>
      <c r="D93" s="70" t="n">
        <v>5.1406</v>
      </c>
      <c r="E93" s="70" t="n">
        <v>5.1412</v>
      </c>
      <c r="F93" s="64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65" t="n"/>
      <c r="Z93" s="65" t="n"/>
    </row>
    <row r="94" ht="12.75" customHeight="1" s="85">
      <c r="A94" s="62" t="n"/>
      <c r="B94" s="68" t="n">
        <v>45426</v>
      </c>
      <c r="C94" s="69" t="inlineStr">
        <is>
          <t>USD</t>
        </is>
      </c>
      <c r="D94" s="70" t="n">
        <v>5.135</v>
      </c>
      <c r="E94" s="70" t="n">
        <v>5.1356</v>
      </c>
      <c r="F94" s="64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65" t="n"/>
      <c r="Z94" s="65" t="n"/>
    </row>
    <row r="95" ht="12.75" customHeight="1" s="85">
      <c r="A95" s="62" t="n"/>
      <c r="B95" s="68" t="n">
        <v>45427</v>
      </c>
      <c r="C95" s="69" t="inlineStr">
        <is>
          <t>USD</t>
        </is>
      </c>
      <c r="D95" s="70" t="n">
        <v>5.1417</v>
      </c>
      <c r="E95" s="70" t="n">
        <v>5.1423</v>
      </c>
      <c r="F95" s="64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65" t="n"/>
      <c r="Z95" s="65" t="n"/>
    </row>
    <row r="96" ht="12.75" customHeight="1" s="85">
      <c r="A96" s="62" t="n"/>
      <c r="B96" s="68" t="n">
        <v>45428</v>
      </c>
      <c r="C96" s="69" t="inlineStr">
        <is>
          <t>USD</t>
        </is>
      </c>
      <c r="D96" s="70" t="n">
        <v>5.1264</v>
      </c>
      <c r="E96" s="70" t="n">
        <v>5.127</v>
      </c>
      <c r="F96" s="64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65" t="n"/>
      <c r="Z96" s="65" t="n"/>
    </row>
    <row r="97" ht="12.75" customHeight="1" s="85">
      <c r="A97" s="62" t="n"/>
      <c r="B97" s="68" t="n">
        <v>45429</v>
      </c>
      <c r="C97" s="69" t="inlineStr">
        <is>
          <t>USD</t>
        </is>
      </c>
      <c r="D97" s="70" t="n">
        <v>5.1151</v>
      </c>
      <c r="E97" s="70" t="n">
        <v>5.1157</v>
      </c>
      <c r="F97" s="64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65" t="n"/>
      <c r="Z97" s="65" t="n"/>
    </row>
    <row r="98" ht="12.75" customHeight="1" s="85">
      <c r="A98" s="62" t="n"/>
      <c r="B98" s="68" t="n">
        <v>45432</v>
      </c>
      <c r="C98" s="69" t="inlineStr">
        <is>
          <t>USD</t>
        </is>
      </c>
      <c r="D98" s="70" t="n">
        <v>5.1079</v>
      </c>
      <c r="E98" s="70" t="n">
        <v>5.1085</v>
      </c>
      <c r="F98" s="64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65" t="n"/>
      <c r="Z98" s="65" t="n"/>
    </row>
    <row r="99" ht="12.75" customHeight="1" s="85">
      <c r="A99" s="62" t="n"/>
      <c r="B99" s="68" t="n">
        <v>45433</v>
      </c>
      <c r="C99" s="69" t="inlineStr">
        <is>
          <t>USD</t>
        </is>
      </c>
      <c r="D99" s="70" t="n">
        <v>5.1031</v>
      </c>
      <c r="E99" s="70" t="n">
        <v>5.1037</v>
      </c>
      <c r="F99" s="64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65" t="n"/>
      <c r="Z99" s="65" t="n"/>
    </row>
    <row r="100" ht="12.75" customHeight="1" s="85">
      <c r="A100" s="62" t="n"/>
      <c r="B100" s="68" t="n">
        <v>45434</v>
      </c>
      <c r="C100" s="69" t="inlineStr">
        <is>
          <t>USD</t>
        </is>
      </c>
      <c r="D100" s="70" t="n">
        <v>5.1496</v>
      </c>
      <c r="E100" s="70" t="n">
        <v>5.1502</v>
      </c>
      <c r="F100" s="64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65" t="n"/>
      <c r="Z100" s="65" t="n"/>
    </row>
    <row r="101" ht="12.75" customHeight="1" s="85">
      <c r="A101" s="62" t="n"/>
      <c r="B101" s="68" t="n">
        <v>45435</v>
      </c>
      <c r="C101" s="69" t="inlineStr">
        <is>
          <t>USD</t>
        </is>
      </c>
      <c r="D101" s="70" t="n">
        <v>5.1437</v>
      </c>
      <c r="E101" s="70" t="n">
        <v>5.1443</v>
      </c>
      <c r="F101" s="64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65" t="n"/>
      <c r="Z101" s="65" t="n"/>
    </row>
    <row r="102" ht="12.75" customHeight="1" s="85">
      <c r="A102" s="62" t="n"/>
      <c r="B102" s="68" t="n">
        <v>45436</v>
      </c>
      <c r="C102" s="69" t="inlineStr">
        <is>
          <t>USD</t>
        </is>
      </c>
      <c r="D102" s="70" t="n">
        <v>5.1502</v>
      </c>
      <c r="E102" s="70" t="n">
        <v>5.1508</v>
      </c>
      <c r="F102" s="64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65" t="n"/>
      <c r="Z102" s="65" t="n"/>
    </row>
    <row r="103" ht="12.75" customHeight="1" s="85">
      <c r="A103" s="62" t="n"/>
      <c r="B103" s="68" t="n">
        <v>45439</v>
      </c>
      <c r="C103" s="69" t="inlineStr">
        <is>
          <t>USD</t>
        </is>
      </c>
      <c r="D103" s="70" t="n">
        <v>5.1698</v>
      </c>
      <c r="E103" s="70" t="n">
        <v>5.1704</v>
      </c>
      <c r="F103" s="64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65" t="n"/>
      <c r="Z103" s="65" t="n"/>
    </row>
    <row r="104" ht="12.75" customHeight="1" s="85">
      <c r="A104" s="62" t="n"/>
      <c r="B104" s="68" t="n">
        <v>45440</v>
      </c>
      <c r="C104" s="69" t="inlineStr">
        <is>
          <t>USD</t>
        </is>
      </c>
      <c r="D104" s="70" t="n">
        <v>5.1532</v>
      </c>
      <c r="E104" s="70" t="n">
        <v>5.1538</v>
      </c>
      <c r="F104" s="64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65" t="n"/>
      <c r="Z104" s="65" t="n"/>
    </row>
    <row r="105" ht="12.75" customHeight="1" s="85">
      <c r="A105" s="62" t="n"/>
      <c r="B105" s="68" t="n">
        <v>45441</v>
      </c>
      <c r="C105" s="69" t="inlineStr">
        <is>
          <t>USD</t>
        </is>
      </c>
      <c r="D105" s="70" t="n">
        <v>5.1966</v>
      </c>
      <c r="E105" s="70" t="n">
        <v>5.1972</v>
      </c>
      <c r="F105" s="64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65" t="n"/>
      <c r="Z105" s="65" t="n"/>
    </row>
    <row r="106" ht="12.75" customHeight="1" s="85">
      <c r="A106" s="62" t="n"/>
      <c r="B106" s="68" t="n">
        <v>45443</v>
      </c>
      <c r="C106" s="69" t="inlineStr">
        <is>
          <t>USD</t>
        </is>
      </c>
      <c r="D106" s="70" t="n">
        <v>5.241</v>
      </c>
      <c r="E106" s="70" t="n">
        <v>5.2416</v>
      </c>
      <c r="F106" s="64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65" t="n"/>
      <c r="Z106" s="65" t="n"/>
    </row>
    <row r="107" ht="12.75" customHeight="1" s="85">
      <c r="A107" s="62" t="n"/>
      <c r="B107" s="68" t="n">
        <v>45446</v>
      </c>
      <c r="C107" s="69" t="inlineStr">
        <is>
          <t>USD</t>
        </is>
      </c>
      <c r="D107" s="70" t="n">
        <v>5.2367</v>
      </c>
      <c r="E107" s="70" t="n">
        <v>5.2373</v>
      </c>
      <c r="F107" s="64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65" t="n"/>
      <c r="Z107" s="65" t="n"/>
    </row>
    <row r="108" ht="12.75" customHeight="1" s="85">
      <c r="A108" s="62" t="n"/>
      <c r="B108" s="68" t="n">
        <v>45447</v>
      </c>
      <c r="C108" s="69" t="inlineStr">
        <is>
          <t>USD</t>
        </is>
      </c>
      <c r="D108" s="70" t="n">
        <v>5.2681</v>
      </c>
      <c r="E108" s="70" t="n">
        <v>5.2687</v>
      </c>
      <c r="F108" s="64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65" t="n"/>
      <c r="Z108" s="65" t="n"/>
    </row>
    <row r="109" ht="12.75" customHeight="1" s="85">
      <c r="A109" s="62" t="n"/>
      <c r="B109" s="68" t="n">
        <v>45448</v>
      </c>
      <c r="C109" s="69" t="inlineStr">
        <is>
          <t>USD</t>
        </is>
      </c>
      <c r="D109" s="70" t="n">
        <v>5.2835</v>
      </c>
      <c r="E109" s="70" t="n">
        <v>5.2841</v>
      </c>
      <c r="F109" s="64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65" t="n"/>
      <c r="Z109" s="65" t="n"/>
    </row>
    <row r="110" ht="12.75" customHeight="1" s="85">
      <c r="A110" s="62" t="n"/>
      <c r="B110" s="68" t="n">
        <v>45449</v>
      </c>
      <c r="C110" s="69" t="inlineStr">
        <is>
          <t>USD</t>
        </is>
      </c>
      <c r="D110" s="70" t="n">
        <v>5.2675</v>
      </c>
      <c r="E110" s="70" t="n">
        <v>5.2681</v>
      </c>
      <c r="F110" s="64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65" t="n"/>
      <c r="Z110" s="65" t="n"/>
    </row>
    <row r="111" ht="12.75" customHeight="1" s="85">
      <c r="A111" s="62" t="n"/>
      <c r="B111" s="68" t="n">
        <v>45450</v>
      </c>
      <c r="C111" s="69" t="inlineStr">
        <is>
          <t>USD</t>
        </is>
      </c>
      <c r="D111" s="70" t="n">
        <v>5.2796</v>
      </c>
      <c r="E111" s="70" t="n">
        <v>5.2802</v>
      </c>
      <c r="F111" s="64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65" t="n"/>
      <c r="Z111" s="65" t="n"/>
    </row>
    <row r="112" ht="12.75" customHeight="1" s="85">
      <c r="A112" s="62" t="n"/>
      <c r="B112" s="68" t="n">
        <v>45453</v>
      </c>
      <c r="C112" s="69" t="inlineStr">
        <is>
          <t>USD</t>
        </is>
      </c>
      <c r="D112" s="70" t="n">
        <v>5.366</v>
      </c>
      <c r="E112" s="70" t="n">
        <v>5.3666</v>
      </c>
      <c r="F112" s="64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65" t="n"/>
      <c r="Z112" s="65" t="n"/>
    </row>
    <row r="113" ht="12.75" customHeight="1" s="85">
      <c r="A113" s="62" t="n"/>
      <c r="B113" s="68" t="n">
        <v>45454</v>
      </c>
      <c r="C113" s="69" t="inlineStr">
        <is>
          <t>USD</t>
        </is>
      </c>
      <c r="D113" s="70" t="n">
        <v>5.3519</v>
      </c>
      <c r="E113" s="70" t="n">
        <v>5.3524</v>
      </c>
      <c r="F113" s="64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65" t="n"/>
      <c r="Z113" s="65" t="n"/>
    </row>
    <row r="114" ht="12.75" customHeight="1" s="85">
      <c r="A114" s="62" t="n"/>
      <c r="B114" s="68" t="n">
        <v>45455</v>
      </c>
      <c r="C114" s="69" t="inlineStr">
        <is>
          <t>USD</t>
        </is>
      </c>
      <c r="D114" s="70" t="n">
        <v>5.3885</v>
      </c>
      <c r="E114" s="70" t="n">
        <v>5.3891</v>
      </c>
      <c r="F114" s="64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65" t="n"/>
      <c r="Z114" s="65" t="n"/>
    </row>
    <row r="115" ht="12.75" customHeight="1" s="85">
      <c r="A115" s="62" t="n"/>
      <c r="B115" s="68" t="n">
        <v>45456</v>
      </c>
      <c r="C115" s="69" t="inlineStr">
        <is>
          <t>USD</t>
        </is>
      </c>
      <c r="D115" s="70" t="n">
        <v>5.3968</v>
      </c>
      <c r="E115" s="70" t="n">
        <v>5.3974</v>
      </c>
      <c r="F115" s="64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65" t="n"/>
      <c r="Z115" s="65" t="n"/>
    </row>
    <row r="116" ht="12.75" customHeight="1" s="85">
      <c r="A116" s="62" t="n"/>
      <c r="B116" s="68" t="n">
        <v>45457</v>
      </c>
      <c r="C116" s="69" t="inlineStr">
        <is>
          <t>USD</t>
        </is>
      </c>
      <c r="D116" s="70" t="n">
        <v>5.3624</v>
      </c>
      <c r="E116" s="70" t="n">
        <v>5.363</v>
      </c>
      <c r="F116" s="64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65" t="n"/>
      <c r="Z116" s="65" t="n"/>
    </row>
    <row r="117" ht="12.75" customHeight="1" s="85">
      <c r="A117" s="62" t="n"/>
      <c r="B117" s="68" t="n">
        <v>45460</v>
      </c>
      <c r="C117" s="69" t="inlineStr">
        <is>
          <t>USD</t>
        </is>
      </c>
      <c r="D117" s="70" t="n">
        <v>5.4124</v>
      </c>
      <c r="E117" s="70" t="n">
        <v>5.413</v>
      </c>
      <c r="F117" s="64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65" t="n"/>
      <c r="Z117" s="65" t="n"/>
    </row>
    <row r="118" ht="12.75" customHeight="1" s="85">
      <c r="A118" s="62" t="n"/>
      <c r="B118" s="68" t="n">
        <v>45461</v>
      </c>
      <c r="C118" s="69" t="inlineStr">
        <is>
          <t>USD</t>
        </is>
      </c>
      <c r="D118" s="70" t="n">
        <v>5.4068</v>
      </c>
      <c r="E118" s="70" t="n">
        <v>5.4074</v>
      </c>
      <c r="F118" s="64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65" t="n"/>
      <c r="Z118" s="65" t="n"/>
    </row>
    <row r="119" ht="12.75" customHeight="1" s="85">
      <c r="A119" s="62" t="n"/>
      <c r="B119" s="68" t="n">
        <v>45462</v>
      </c>
      <c r="C119" s="69" t="inlineStr">
        <is>
          <t>USD</t>
        </is>
      </c>
      <c r="D119" s="70" t="n">
        <v>5.4641</v>
      </c>
      <c r="E119" s="70" t="n">
        <v>5.4647</v>
      </c>
      <c r="F119" s="64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65" t="n"/>
      <c r="Z119" s="65" t="n"/>
    </row>
    <row r="120" ht="12.75" customHeight="1" s="85">
      <c r="A120" s="62" t="n"/>
      <c r="B120" s="68" t="n">
        <v>45463</v>
      </c>
      <c r="C120" s="69" t="inlineStr">
        <is>
          <t>USD</t>
        </is>
      </c>
      <c r="D120" s="70" t="n">
        <v>5.4248</v>
      </c>
      <c r="E120" s="70" t="n">
        <v>5.4254</v>
      </c>
      <c r="F120" s="64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65" t="n"/>
      <c r="Z120" s="65" t="n"/>
    </row>
    <row r="121" ht="12.75" customHeight="1" s="85">
      <c r="A121" s="62" t="n"/>
      <c r="B121" s="68" t="n">
        <v>45464</v>
      </c>
      <c r="C121" s="69" t="inlineStr">
        <is>
          <t>USD</t>
        </is>
      </c>
      <c r="D121" s="70" t="n">
        <v>5.441</v>
      </c>
      <c r="E121" s="70" t="n">
        <v>5.4416</v>
      </c>
      <c r="F121" s="64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65" t="n"/>
      <c r="Z121" s="65" t="n"/>
    </row>
    <row r="122" ht="12.75" customHeight="1" s="85">
      <c r="A122" s="62" t="n"/>
      <c r="B122" s="68" t="n">
        <v>45467</v>
      </c>
      <c r="C122" s="69" t="inlineStr">
        <is>
          <t>USD</t>
        </is>
      </c>
      <c r="D122" s="70" t="n">
        <v>5.3994</v>
      </c>
      <c r="E122" s="70" t="n">
        <v>5.4</v>
      </c>
      <c r="F122" s="64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65" t="n"/>
      <c r="Z122" s="65" t="n"/>
    </row>
    <row r="123" ht="12.75" customHeight="1" s="85">
      <c r="A123" s="62" t="n"/>
      <c r="B123" s="68" t="n">
        <v>45468</v>
      </c>
      <c r="C123" s="69" t="inlineStr">
        <is>
          <t>USD</t>
        </is>
      </c>
      <c r="D123" s="70" t="n">
        <v>5.4283</v>
      </c>
      <c r="E123" s="70" t="n">
        <v>5.429</v>
      </c>
      <c r="F123" s="64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65" t="n"/>
      <c r="Z123" s="65" t="n"/>
    </row>
    <row r="124" ht="12.75" customHeight="1" s="85">
      <c r="A124" s="62" t="n"/>
      <c r="B124" s="68" t="n">
        <v>45469</v>
      </c>
      <c r="C124" s="69" t="inlineStr">
        <is>
          <t>USD</t>
        </is>
      </c>
      <c r="D124" s="70" t="n">
        <v>5.5091</v>
      </c>
      <c r="E124" s="70" t="n">
        <v>5.5097</v>
      </c>
      <c r="F124" s="64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65" t="n"/>
      <c r="Z124" s="65" t="n"/>
    </row>
    <row r="125" ht="12.75" customHeight="1" s="85">
      <c r="A125" s="62" t="n"/>
      <c r="B125" s="68" t="n">
        <v>45470</v>
      </c>
      <c r="C125" s="69" t="inlineStr">
        <is>
          <t>USD</t>
        </is>
      </c>
      <c r="D125" s="70" t="n">
        <v>5.5223</v>
      </c>
      <c r="E125" s="70" t="n">
        <v>5.5229</v>
      </c>
      <c r="F125" s="64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65" t="n"/>
      <c r="Z125" s="65" t="n"/>
    </row>
    <row r="126" ht="12.75" customHeight="1" s="85">
      <c r="A126" s="62" t="n"/>
      <c r="B126" s="68" t="n">
        <v>45471</v>
      </c>
      <c r="C126" s="69" t="inlineStr">
        <is>
          <t>USD</t>
        </is>
      </c>
      <c r="D126" s="70" t="n">
        <v>5.5583</v>
      </c>
      <c r="E126" s="70" t="n">
        <v>5.5589</v>
      </c>
      <c r="F126" s="64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65" t="n"/>
      <c r="Z126" s="65" t="n"/>
    </row>
    <row r="127" ht="12.75" customHeight="1" s="85">
      <c r="A127" s="62" t="n"/>
      <c r="B127" s="68" t="n">
        <v>45474</v>
      </c>
      <c r="C127" s="69" t="inlineStr">
        <is>
          <t>USD</t>
        </is>
      </c>
      <c r="D127" s="70" t="n">
        <v>5.5887</v>
      </c>
      <c r="E127" s="70" t="n">
        <v>5.5893</v>
      </c>
      <c r="F127" s="64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65" t="n"/>
      <c r="Z127" s="65" t="n"/>
    </row>
    <row r="128" ht="12.75" customHeight="1" s="85">
      <c r="A128" s="62" t="n"/>
      <c r="B128" s="68" t="n">
        <v>45475</v>
      </c>
      <c r="C128" s="69" t="inlineStr">
        <is>
          <t>USD</t>
        </is>
      </c>
      <c r="D128" s="70" t="n">
        <v>5.6671</v>
      </c>
      <c r="E128" s="70" t="n">
        <v>5.6677</v>
      </c>
      <c r="F128" s="64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65" t="n"/>
      <c r="Z128" s="65" t="n"/>
    </row>
    <row r="129" ht="12.75" customHeight="1" s="85">
      <c r="A129" s="62" t="n"/>
      <c r="B129" s="68" t="n">
        <v>45476</v>
      </c>
      <c r="C129" s="69" t="inlineStr">
        <is>
          <t>USD</t>
        </is>
      </c>
      <c r="D129" s="70" t="n">
        <v>5.5857</v>
      </c>
      <c r="E129" s="70" t="n">
        <v>5.5863</v>
      </c>
      <c r="F129" s="64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65" t="n"/>
      <c r="Z129" s="65" t="n"/>
    </row>
    <row r="130" ht="12.75" customHeight="1" s="85">
      <c r="A130" s="62" t="n"/>
      <c r="B130" s="68" t="n">
        <v>45477</v>
      </c>
      <c r="C130" s="69" t="inlineStr">
        <is>
          <t>USD</t>
        </is>
      </c>
      <c r="D130" s="70" t="n">
        <v>5.4833</v>
      </c>
      <c r="E130" s="70" t="n">
        <v>5.4839</v>
      </c>
      <c r="F130" s="64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65" t="n"/>
      <c r="Z130" s="65" t="n"/>
    </row>
    <row r="131" ht="12.75" customHeight="1" s="85">
      <c r="A131" s="62" t="n"/>
      <c r="B131" s="68" t="n">
        <v>45478</v>
      </c>
      <c r="C131" s="69" t="inlineStr">
        <is>
          <t>USD</t>
        </is>
      </c>
      <c r="D131" s="70" t="n">
        <v>5.4964</v>
      </c>
      <c r="E131" s="70" t="n">
        <v>5.497</v>
      </c>
      <c r="F131" s="64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65" t="n"/>
      <c r="Z131" s="65" t="n"/>
    </row>
    <row r="132" ht="12.75" customHeight="1" s="85">
      <c r="A132" s="62" t="n"/>
      <c r="B132" s="68" t="n">
        <v>45481</v>
      </c>
      <c r="C132" s="69" t="inlineStr">
        <is>
          <t>USD</t>
        </is>
      </c>
      <c r="D132" s="70" t="n">
        <v>5.4714</v>
      </c>
      <c r="E132" s="70" t="n">
        <v>5.472</v>
      </c>
      <c r="F132" s="64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65" t="n"/>
      <c r="Z132" s="65" t="n"/>
    </row>
    <row r="133" ht="12.75" customHeight="1" s="85">
      <c r="A133" s="62" t="n"/>
      <c r="B133" s="68" t="n">
        <v>45482</v>
      </c>
      <c r="C133" s="69" t="inlineStr">
        <is>
          <t>USD</t>
        </is>
      </c>
      <c r="D133" s="70" t="n">
        <v>5.4381</v>
      </c>
      <c r="E133" s="70" t="n">
        <v>5.4387</v>
      </c>
      <c r="F133" s="64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65" t="n"/>
      <c r="Z133" s="65" t="n"/>
    </row>
    <row r="134" ht="12.75" customHeight="1" s="85">
      <c r="A134" s="62" t="n"/>
      <c r="B134" s="68" t="n">
        <v>45483</v>
      </c>
      <c r="C134" s="69" t="inlineStr">
        <is>
          <t>USD</t>
        </is>
      </c>
      <c r="D134" s="70" t="n">
        <v>5.3961</v>
      </c>
      <c r="E134" s="70" t="n">
        <v>5.3967</v>
      </c>
      <c r="F134" s="64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65" t="n"/>
      <c r="Z134" s="65" t="n"/>
    </row>
    <row r="135" ht="12.75" customHeight="1" s="85">
      <c r="A135" s="62" t="n"/>
      <c r="B135" s="68" t="n">
        <v>45484</v>
      </c>
      <c r="C135" s="69" t="inlineStr">
        <is>
          <t>USD</t>
        </is>
      </c>
      <c r="D135" s="70" t="n">
        <v>5.4094</v>
      </c>
      <c r="E135" s="70" t="n">
        <v>5.41</v>
      </c>
      <c r="F135" s="64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65" t="n"/>
      <c r="Z135" s="65" t="n"/>
    </row>
    <row r="136" ht="12.75" customHeight="1" s="85">
      <c r="A136" s="62" t="n"/>
      <c r="B136" s="68" t="n">
        <v>45485</v>
      </c>
      <c r="C136" s="69" t="inlineStr">
        <is>
          <t>USD</t>
        </is>
      </c>
      <c r="D136" s="70" t="n">
        <v>5.4523</v>
      </c>
      <c r="E136" s="70" t="n">
        <v>5.4529</v>
      </c>
      <c r="F136" s="64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65" t="n"/>
      <c r="Z136" s="65" t="n"/>
    </row>
    <row r="137" ht="12.75" customHeight="1" s="85">
      <c r="A137" s="62" t="n"/>
      <c r="B137" s="68" t="n">
        <v>45488</v>
      </c>
      <c r="C137" s="69" t="inlineStr">
        <is>
          <t>USD</t>
        </is>
      </c>
      <c r="D137" s="70" t="n">
        <v>5.4557</v>
      </c>
      <c r="E137" s="70" t="n">
        <v>5.4563</v>
      </c>
      <c r="F137" s="64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65" t="n"/>
      <c r="Z137" s="65" t="n"/>
    </row>
    <row r="138" ht="12.75" customHeight="1" s="85">
      <c r="A138" s="62" t="n"/>
      <c r="B138" s="68" t="n">
        <v>45489</v>
      </c>
      <c r="C138" s="69" t="inlineStr">
        <is>
          <t>USD</t>
        </is>
      </c>
      <c r="D138" s="70" t="n">
        <v>5.4268</v>
      </c>
      <c r="E138" s="70" t="n">
        <v>5.4274</v>
      </c>
      <c r="F138" s="64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65" t="n"/>
      <c r="Z138" s="65" t="n"/>
    </row>
    <row r="139" ht="12.75" customHeight="1" s="85">
      <c r="A139" s="62" t="n"/>
      <c r="B139" s="68" t="n">
        <v>45490</v>
      </c>
      <c r="C139" s="69" t="inlineStr">
        <is>
          <t>USD</t>
        </is>
      </c>
      <c r="D139" s="70" t="n">
        <v>5.4664</v>
      </c>
      <c r="E139" s="70" t="n">
        <v>5.467</v>
      </c>
      <c r="F139" s="64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65" t="n"/>
      <c r="Z139" s="65" t="n"/>
    </row>
    <row r="140" ht="12.75" customHeight="1" s="85">
      <c r="A140" s="62" t="n"/>
      <c r="B140" s="68" t="n">
        <v>45491</v>
      </c>
      <c r="C140" s="69" t="inlineStr">
        <is>
          <t>USD</t>
        </is>
      </c>
      <c r="D140" s="70" t="n">
        <v>5.542</v>
      </c>
      <c r="E140" s="70" t="n">
        <v>5.5426</v>
      </c>
      <c r="F140" s="64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65" t="n"/>
      <c r="Z140" s="65" t="n"/>
    </row>
    <row r="141" ht="12.75" customHeight="1" s="85">
      <c r="A141" s="62" t="n"/>
      <c r="B141" s="68" t="n">
        <v>45492</v>
      </c>
      <c r="C141" s="69" t="inlineStr">
        <is>
          <t>USD</t>
        </is>
      </c>
      <c r="D141" s="70" t="n">
        <v>5.5537</v>
      </c>
      <c r="E141" s="70" t="n">
        <v>5.5543</v>
      </c>
      <c r="F141" s="64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65" t="n"/>
      <c r="Z141" s="65" t="n"/>
    </row>
    <row r="142" ht="12.75" customHeight="1" s="85">
      <c r="A142" s="62" t="n"/>
      <c r="B142" s="68" t="n">
        <v>45495</v>
      </c>
      <c r="C142" s="69" t="inlineStr">
        <is>
          <t>USD</t>
        </is>
      </c>
      <c r="D142" s="70" t="n">
        <v>5.5592</v>
      </c>
      <c r="E142" s="70" t="n">
        <v>5.5598</v>
      </c>
      <c r="F142" s="64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65" t="n"/>
      <c r="Z142" s="65" t="n"/>
    </row>
    <row r="143" ht="12.75" customHeight="1" s="85">
      <c r="A143" s="62" t="n"/>
      <c r="B143" s="68" t="n">
        <v>45496</v>
      </c>
      <c r="C143" s="69" t="inlineStr">
        <is>
          <t>USD</t>
        </is>
      </c>
      <c r="D143" s="70" t="n">
        <v>5.5801</v>
      </c>
      <c r="E143" s="70" t="n">
        <v>5.5807</v>
      </c>
      <c r="F143" s="64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65" t="n"/>
      <c r="Z143" s="65" t="n"/>
    </row>
    <row r="144" ht="12.75" customHeight="1" s="85">
      <c r="A144" s="62" t="n"/>
      <c r="B144" s="68" t="n">
        <v>45497</v>
      </c>
      <c r="C144" s="69" t="inlineStr">
        <is>
          <t>USD</t>
        </is>
      </c>
      <c r="D144" s="70" t="n">
        <v>5.634</v>
      </c>
      <c r="E144" s="70" t="n">
        <v>5.6346</v>
      </c>
      <c r="F144" s="64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65" t="n"/>
      <c r="Z144" s="65" t="n"/>
    </row>
    <row r="145" ht="12.75" customHeight="1" s="85">
      <c r="A145" s="62" t="n"/>
      <c r="B145" s="68" t="n">
        <v>45498</v>
      </c>
      <c r="C145" s="69" t="inlineStr">
        <is>
          <t>USD</t>
        </is>
      </c>
      <c r="D145" s="70" t="n">
        <v>5.6396</v>
      </c>
      <c r="E145" s="70" t="n">
        <v>5.6402</v>
      </c>
      <c r="F145" s="64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65" t="n"/>
      <c r="Z145" s="65" t="n"/>
    </row>
    <row r="146" ht="12.75" customHeight="1" s="85">
      <c r="A146" s="62" t="n"/>
      <c r="B146" s="68" t="n">
        <v>45499</v>
      </c>
      <c r="C146" s="69" t="inlineStr">
        <is>
          <t>USD</t>
        </is>
      </c>
      <c r="D146" s="70" t="n">
        <v>5.6459</v>
      </c>
      <c r="E146" s="70" t="n">
        <v>5.6465</v>
      </c>
      <c r="F146" s="64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 ht="12.75" customHeight="1" s="85">
      <c r="A147" s="62" t="n"/>
      <c r="B147" s="68" t="n">
        <v>45502</v>
      </c>
      <c r="C147" s="69" t="inlineStr">
        <is>
          <t>USD</t>
        </is>
      </c>
      <c r="D147" s="70" t="n">
        <v>5.6473</v>
      </c>
      <c r="E147" s="70" t="n">
        <v>5.6479</v>
      </c>
      <c r="F147" s="64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 ht="12.75" customHeight="1" s="85">
      <c r="A148" s="62" t="n"/>
      <c r="B148" s="68" t="n">
        <v>45503</v>
      </c>
      <c r="C148" s="69" t="inlineStr">
        <is>
          <t>USD</t>
        </is>
      </c>
      <c r="D148" s="70" t="n">
        <v>5.6526</v>
      </c>
      <c r="E148" s="70" t="n">
        <v>5.6532</v>
      </c>
      <c r="F148" s="64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 ht="12.75" customHeight="1" s="85">
      <c r="A149" s="62" t="n"/>
      <c r="B149" s="68" t="n">
        <v>45504</v>
      </c>
      <c r="C149" s="69" t="inlineStr">
        <is>
          <t>USD</t>
        </is>
      </c>
      <c r="D149" s="70" t="n">
        <v>5.6615</v>
      </c>
      <c r="E149" s="70" t="n">
        <v>5.6621</v>
      </c>
      <c r="F149" s="64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 ht="12.75" customHeight="1" s="85">
      <c r="A150" s="62" t="n"/>
      <c r="B150" s="68" t="n">
        <v>45505</v>
      </c>
      <c r="C150" s="69" t="inlineStr">
        <is>
          <t>USD</t>
        </is>
      </c>
      <c r="D150" s="70" t="n">
        <v>5.6675</v>
      </c>
      <c r="E150" s="70" t="n">
        <v>5.6681</v>
      </c>
      <c r="F150" s="64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 ht="12.75" customHeight="1" s="85">
      <c r="A151" s="62" t="n"/>
      <c r="B151" s="68" t="n">
        <v>45506</v>
      </c>
      <c r="C151" s="69" t="inlineStr">
        <is>
          <t>USD</t>
        </is>
      </c>
      <c r="D151" s="70" t="n">
        <v>5.736</v>
      </c>
      <c r="E151" s="70" t="n">
        <v>5.7366</v>
      </c>
      <c r="F151" s="64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 ht="12.75" customHeight="1" s="85">
      <c r="A152" s="62" t="n"/>
      <c r="B152" s="68" t="n">
        <v>45509</v>
      </c>
      <c r="C152" s="69" t="inlineStr">
        <is>
          <t>USD</t>
        </is>
      </c>
      <c r="D152" s="70" t="n">
        <v>5.764</v>
      </c>
      <c r="E152" s="70" t="n">
        <v>5.7646</v>
      </c>
      <c r="F152" s="64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 ht="12.75" customHeight="1" s="85">
      <c r="A153" s="62" t="n"/>
      <c r="B153" s="68" t="n">
        <v>45510</v>
      </c>
      <c r="C153" s="69" t="inlineStr">
        <is>
          <t>USD</t>
        </is>
      </c>
      <c r="D153" s="70" t="n">
        <v>5.6522</v>
      </c>
      <c r="E153" s="70" t="n">
        <v>5.6528</v>
      </c>
      <c r="F153" s="64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 ht="12.75" customHeight="1" s="85">
      <c r="A154" s="62" t="n"/>
      <c r="B154" s="68" t="n">
        <v>45511</v>
      </c>
      <c r="C154" s="69" t="inlineStr">
        <is>
          <t>USD</t>
        </is>
      </c>
      <c r="D154" s="70" t="n">
        <v>5.6087</v>
      </c>
      <c r="E154" s="70" t="n">
        <v>5.6093</v>
      </c>
      <c r="F154" s="64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 ht="12.75" customHeight="1" s="85">
      <c r="A155" s="62" t="n"/>
      <c r="B155" s="68" t="n">
        <v>45512</v>
      </c>
      <c r="C155" s="69" t="inlineStr">
        <is>
          <t>USD</t>
        </is>
      </c>
      <c r="D155" s="70" t="n">
        <v>5.6166</v>
      </c>
      <c r="E155" s="70" t="n">
        <v>5.6172</v>
      </c>
      <c r="F155" s="64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 ht="12.75" customHeight="1" s="85">
      <c r="A156" s="62" t="n"/>
      <c r="B156" s="68" t="n">
        <v>45513</v>
      </c>
      <c r="C156" s="69" t="inlineStr">
        <is>
          <t>USD</t>
        </is>
      </c>
      <c r="D156" s="70" t="n">
        <v>5.5109</v>
      </c>
      <c r="E156" s="70" t="n">
        <v>5.5115</v>
      </c>
      <c r="F156" s="64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 ht="12.75" customHeight="1" s="85">
      <c r="A157" s="62" t="n"/>
      <c r="B157" s="68" t="n">
        <v>45516</v>
      </c>
      <c r="C157" s="69" t="inlineStr">
        <is>
          <t>USD</t>
        </is>
      </c>
      <c r="D157" s="70" t="n">
        <v>5.4905</v>
      </c>
      <c r="E157" s="70" t="n">
        <v>5.4911</v>
      </c>
      <c r="F157" s="64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 ht="12.75" customHeight="1" s="85">
      <c r="A158" s="62" t="n"/>
      <c r="B158" s="68" t="n">
        <v>45517</v>
      </c>
      <c r="C158" s="69" t="inlineStr">
        <is>
          <t>USD</t>
        </is>
      </c>
      <c r="D158" s="70" t="n">
        <v>5.4869</v>
      </c>
      <c r="E158" s="70" t="n">
        <v>5.4875</v>
      </c>
      <c r="F158" s="64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 ht="12.75" customHeight="1" s="85">
      <c r="A159" s="62" t="n"/>
      <c r="B159" s="68" t="n">
        <v>45518</v>
      </c>
      <c r="C159" s="69" t="inlineStr">
        <is>
          <t>USD</t>
        </is>
      </c>
      <c r="D159" s="70" t="n">
        <v>5.4496</v>
      </c>
      <c r="E159" s="70" t="n">
        <v>5.4502</v>
      </c>
      <c r="F159" s="64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 ht="12.75" customHeight="1" s="85">
      <c r="A160" s="62" t="n"/>
      <c r="B160" s="68" t="n">
        <v>45519</v>
      </c>
      <c r="C160" s="69" t="inlineStr">
        <is>
          <t>USD</t>
        </is>
      </c>
      <c r="D160" s="70" t="n">
        <v>5.4645</v>
      </c>
      <c r="E160" s="70" t="n">
        <v>5.4651</v>
      </c>
      <c r="F160" s="64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 ht="12.75" customHeight="1" s="85">
      <c r="A161" s="62" t="n"/>
      <c r="B161" s="68" t="n">
        <v>45520</v>
      </c>
      <c r="C161" s="69" t="inlineStr">
        <is>
          <t>USD</t>
        </is>
      </c>
      <c r="D161" s="70" t="n">
        <v>5.4626</v>
      </c>
      <c r="E161" s="70" t="n">
        <v>5.4632</v>
      </c>
      <c r="F161" s="64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 ht="12.75" customHeight="1" s="85">
      <c r="A162" s="62" t="n"/>
      <c r="B162" s="68" t="n">
        <v>45523</v>
      </c>
      <c r="C162" s="69" t="inlineStr">
        <is>
          <t>USD</t>
        </is>
      </c>
      <c r="D162" s="70" t="n">
        <v>5.4231</v>
      </c>
      <c r="E162" s="70" t="n">
        <v>5.4237</v>
      </c>
      <c r="F162" s="64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 ht="12.75" customHeight="1" s="85">
      <c r="A163" s="62" t="n"/>
      <c r="B163" s="68" t="n">
        <v>45524</v>
      </c>
      <c r="C163" s="69" t="inlineStr">
        <is>
          <t>USD</t>
        </is>
      </c>
      <c r="D163" s="70" t="n">
        <v>5.4541</v>
      </c>
      <c r="E163" s="70" t="n">
        <v>5.4547</v>
      </c>
      <c r="F163" s="64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 ht="12.75" customHeight="1" s="85">
      <c r="A164" s="62" t="n"/>
      <c r="B164" s="68" t="n">
        <v>45525</v>
      </c>
      <c r="C164" s="69" t="inlineStr">
        <is>
          <t>USD</t>
        </is>
      </c>
      <c r="D164" s="70" t="n">
        <v>5.4701</v>
      </c>
      <c r="E164" s="70" t="n">
        <v>5.4707</v>
      </c>
      <c r="F164" s="64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65" t="n"/>
      <c r="Z164" s="65" t="n"/>
    </row>
    <row r="165" ht="12.75" customHeight="1" s="85">
      <c r="A165" s="62" t="n"/>
      <c r="B165" s="68" t="n">
        <v>45526</v>
      </c>
      <c r="C165" s="69" t="inlineStr">
        <is>
          <t>USD</t>
        </is>
      </c>
      <c r="D165" s="70" t="n">
        <v>5.5518</v>
      </c>
      <c r="E165" s="70" t="n">
        <v>5.5524</v>
      </c>
      <c r="F165" s="64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65" t="n"/>
      <c r="Z165" s="65" t="n"/>
    </row>
    <row r="166" ht="12.75" customHeight="1" s="85">
      <c r="A166" s="62" t="n"/>
      <c r="B166" s="68" t="n">
        <v>45527</v>
      </c>
      <c r="C166" s="69" t="inlineStr">
        <is>
          <t>USD</t>
        </is>
      </c>
      <c r="D166" s="70" t="n">
        <v>5.5257</v>
      </c>
      <c r="E166" s="70" t="n">
        <v>5.5263</v>
      </c>
      <c r="F166" s="64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65" t="n"/>
      <c r="Z166" s="65" t="n"/>
    </row>
    <row r="167" ht="12.75" customHeight="1" s="85">
      <c r="A167" s="62" t="n"/>
      <c r="B167" s="68" t="n">
        <v>45530</v>
      </c>
      <c r="C167" s="69" t="inlineStr">
        <is>
          <t>USD</t>
        </is>
      </c>
      <c r="D167" s="70" t="n">
        <v>5.4915</v>
      </c>
      <c r="E167" s="70" t="n">
        <v>5.4921</v>
      </c>
      <c r="F167" s="64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65" t="n"/>
      <c r="Z167" s="65" t="n"/>
    </row>
    <row r="168" ht="12.75" customHeight="1" s="85">
      <c r="A168" s="62" t="n"/>
      <c r="B168" s="68" t="n">
        <v>45531</v>
      </c>
      <c r="C168" s="69" t="inlineStr">
        <is>
          <t>USD</t>
        </is>
      </c>
      <c r="D168" s="70" t="n">
        <v>5.4963</v>
      </c>
      <c r="E168" s="70" t="n">
        <v>5.4969</v>
      </c>
      <c r="F168" s="64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65" t="n"/>
      <c r="Z168" s="65" t="n"/>
    </row>
    <row r="169" ht="12.75" customHeight="1" s="85">
      <c r="A169" s="62" t="n"/>
      <c r="B169" s="68" t="n">
        <v>45532</v>
      </c>
      <c r="C169" s="69" t="inlineStr">
        <is>
          <t>USD</t>
        </is>
      </c>
      <c r="D169" s="70" t="n">
        <v>5.5309</v>
      </c>
      <c r="E169" s="70" t="n">
        <v>5.5315</v>
      </c>
      <c r="F169" s="64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65" t="n"/>
      <c r="Z169" s="65" t="n"/>
    </row>
    <row r="170" ht="12.75" customHeight="1" s="85">
      <c r="A170" s="62" t="n"/>
      <c r="B170" s="68" t="n">
        <v>45533</v>
      </c>
      <c r="C170" s="69" t="inlineStr">
        <is>
          <t>USD</t>
        </is>
      </c>
      <c r="D170" s="70" t="n">
        <v>5.6352</v>
      </c>
      <c r="E170" s="70" t="n">
        <v>5.6358</v>
      </c>
      <c r="F170" s="64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65" t="n"/>
      <c r="Z170" s="65" t="n"/>
    </row>
    <row r="171" ht="12.75" customHeight="1" s="85">
      <c r="A171" s="62" t="n"/>
      <c r="B171" s="68" t="n">
        <v>45534</v>
      </c>
      <c r="C171" s="69" t="inlineStr">
        <is>
          <t>USD</t>
        </is>
      </c>
      <c r="D171" s="70" t="n">
        <v>5.6556</v>
      </c>
      <c r="E171" s="70" t="n">
        <v>5.6562</v>
      </c>
      <c r="F171" s="64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65" t="n"/>
      <c r="Z171" s="65" t="n"/>
    </row>
    <row r="172" ht="12.75" customHeight="1" s="85">
      <c r="A172" s="62" t="n"/>
      <c r="B172" s="68" t="n">
        <v>45537</v>
      </c>
      <c r="C172" s="69" t="inlineStr">
        <is>
          <t>USD</t>
        </is>
      </c>
      <c r="D172" s="70" t="n">
        <v>5.6224</v>
      </c>
      <c r="E172" s="70" t="n">
        <v>5.623</v>
      </c>
      <c r="F172" s="64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65" t="n"/>
      <c r="Z172" s="65" t="n"/>
    </row>
    <row r="173" ht="12.75" customHeight="1" s="85">
      <c r="A173" s="62" t="n"/>
      <c r="B173" s="68" t="n">
        <v>45538</v>
      </c>
      <c r="C173" s="69" t="inlineStr">
        <is>
          <t>USD</t>
        </is>
      </c>
      <c r="D173" s="70" t="n">
        <v>5.6218</v>
      </c>
      <c r="E173" s="70" t="n">
        <v>5.6224</v>
      </c>
      <c r="F173" s="64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65" t="n"/>
      <c r="Z173" s="65" t="n"/>
    </row>
    <row r="174" ht="12.75" customHeight="1" s="85">
      <c r="A174" s="62" t="n"/>
      <c r="B174" s="68" t="n">
        <v>45539</v>
      </c>
      <c r="C174" s="69" t="inlineStr">
        <is>
          <t>USD</t>
        </is>
      </c>
      <c r="D174" s="70" t="n">
        <v>5.6353</v>
      </c>
      <c r="E174" s="70" t="n">
        <v>5.6359</v>
      </c>
      <c r="F174" s="64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65" t="n"/>
      <c r="Z174" s="65" t="n"/>
    </row>
    <row r="175" ht="12.75" customHeight="1" s="85">
      <c r="A175" s="62" t="n"/>
      <c r="B175" s="68" t="n">
        <v>45540</v>
      </c>
      <c r="C175" s="69" t="inlineStr">
        <is>
          <t>USD</t>
        </is>
      </c>
      <c r="D175" s="70" t="n">
        <v>5.6043</v>
      </c>
      <c r="E175" s="70" t="n">
        <v>5.6049</v>
      </c>
      <c r="F175" s="64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65" t="n"/>
      <c r="Z175" s="65" t="n"/>
    </row>
    <row r="176" ht="12.75" customHeight="1" s="85">
      <c r="A176" s="62" t="n"/>
      <c r="B176" s="68" t="n">
        <v>45541</v>
      </c>
      <c r="C176" s="69" t="inlineStr">
        <is>
          <t>USD</t>
        </is>
      </c>
      <c r="D176" s="70" t="n">
        <v>5.5696</v>
      </c>
      <c r="E176" s="70" t="n">
        <v>5.5702</v>
      </c>
      <c r="F176" s="64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65" t="n"/>
      <c r="Z176" s="65" t="n"/>
    </row>
    <row r="177" ht="12.75" customHeight="1" s="85">
      <c r="A177" s="62" t="n"/>
      <c r="B177" s="68" t="n">
        <v>45544</v>
      </c>
      <c r="C177" s="69" t="inlineStr">
        <is>
          <t>USD</t>
        </is>
      </c>
      <c r="D177" s="70" t="n">
        <v>5.6091</v>
      </c>
      <c r="E177" s="70" t="n">
        <v>5.6097</v>
      </c>
      <c r="F177" s="64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65" t="n"/>
      <c r="Z177" s="65" t="n"/>
    </row>
    <row r="178" ht="12.75" customHeight="1" s="85">
      <c r="A178" s="62" t="n"/>
      <c r="B178" s="68" t="n">
        <v>45545</v>
      </c>
      <c r="C178" s="69" t="inlineStr">
        <is>
          <t>USD</t>
        </is>
      </c>
      <c r="D178" s="70" t="n">
        <v>5.6248</v>
      </c>
      <c r="E178" s="70" t="n">
        <v>5.6254</v>
      </c>
      <c r="F178" s="64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65" t="n"/>
      <c r="Z178" s="65" t="n"/>
    </row>
    <row r="179" ht="12.75" customHeight="1" s="85">
      <c r="A179" s="62" t="n"/>
      <c r="B179" s="68" t="n">
        <v>45546</v>
      </c>
      <c r="C179" s="69" t="inlineStr">
        <is>
          <t>USD</t>
        </is>
      </c>
      <c r="D179" s="70" t="n">
        <v>5.6381</v>
      </c>
      <c r="E179" s="70" t="n">
        <v>5.6387</v>
      </c>
      <c r="F179" s="64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65" t="n"/>
      <c r="Z179" s="65" t="n"/>
    </row>
    <row r="180" ht="12.75" customHeight="1" s="85">
      <c r="A180" s="62" t="n"/>
      <c r="B180" s="68" t="n">
        <v>45547</v>
      </c>
      <c r="C180" s="69" t="inlineStr">
        <is>
          <t>USD</t>
        </is>
      </c>
      <c r="D180" s="70" t="n">
        <v>5.6548</v>
      </c>
      <c r="E180" s="70" t="n">
        <v>5.6554</v>
      </c>
      <c r="F180" s="64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65" t="n"/>
      <c r="Z180" s="65" t="n"/>
    </row>
    <row r="181" ht="12.75" customHeight="1" s="85">
      <c r="A181" s="62" t="n"/>
      <c r="B181" s="68" t="n">
        <v>45548</v>
      </c>
      <c r="C181" s="69" t="inlineStr">
        <is>
          <t>USD</t>
        </is>
      </c>
      <c r="D181" s="70" t="n">
        <v>5.5711</v>
      </c>
      <c r="E181" s="70" t="n">
        <v>5.5717</v>
      </c>
      <c r="F181" s="64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65" t="n"/>
      <c r="Z181" s="65" t="n"/>
    </row>
    <row r="182" ht="12.75" customHeight="1" s="85">
      <c r="A182" s="62" t="n"/>
      <c r="B182" s="68" t="n">
        <v>45551</v>
      </c>
      <c r="C182" s="69" t="inlineStr">
        <is>
          <t>USD</t>
        </is>
      </c>
      <c r="D182" s="70" t="n">
        <v>5.5201</v>
      </c>
      <c r="E182" s="70" t="n">
        <v>5.5207</v>
      </c>
      <c r="F182" s="64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65" t="n"/>
      <c r="Z182" s="65" t="n"/>
    </row>
    <row r="183" ht="12.75" customHeight="1" s="85">
      <c r="A183" s="62" t="n"/>
      <c r="B183" s="68" t="n">
        <v>45552</v>
      </c>
      <c r="C183" s="69" t="inlineStr">
        <is>
          <t>USD</t>
        </is>
      </c>
      <c r="D183" s="70" t="n">
        <v>5.5004</v>
      </c>
      <c r="E183" s="70" t="n">
        <v>5.501</v>
      </c>
      <c r="F183" s="64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65" t="n"/>
      <c r="Z183" s="65" t="n"/>
    </row>
    <row r="184" ht="12.75" customHeight="1" s="85">
      <c r="A184" s="62" t="n"/>
      <c r="B184" s="68" t="n">
        <v>45553</v>
      </c>
      <c r="C184" s="69" t="inlineStr">
        <is>
          <t>USD</t>
        </is>
      </c>
      <c r="D184" s="70" t="n">
        <v>5.4761</v>
      </c>
      <c r="E184" s="70" t="n">
        <v>5.4767</v>
      </c>
      <c r="F184" s="64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65" t="n"/>
      <c r="Z184" s="65" t="n"/>
    </row>
    <row r="185" ht="12.75" customHeight="1" s="85">
      <c r="A185" s="62" t="n"/>
      <c r="B185" s="68" t="n">
        <v>45554</v>
      </c>
      <c r="C185" s="69" t="inlineStr">
        <is>
          <t>USD</t>
        </is>
      </c>
      <c r="D185" s="70" t="n">
        <v>5.4183</v>
      </c>
      <c r="E185" s="70" t="n">
        <v>5.4189</v>
      </c>
      <c r="F185" s="64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65" t="n"/>
      <c r="Z185" s="65" t="n"/>
    </row>
    <row r="186" ht="12.75" customHeight="1" s="85">
      <c r="A186" s="62" t="n"/>
      <c r="B186" s="68" t="n">
        <v>45555</v>
      </c>
      <c r="C186" s="69" t="inlineStr">
        <is>
          <t>USD</t>
        </is>
      </c>
      <c r="D186" s="70" t="n">
        <v>5.4769</v>
      </c>
      <c r="E186" s="70" t="n">
        <v>5.4775</v>
      </c>
      <c r="F186" s="64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65" t="n"/>
      <c r="Z186" s="65" t="n"/>
    </row>
    <row r="187" ht="12.75" customHeight="1" s="85">
      <c r="A187" s="62" t="n"/>
      <c r="B187" s="68" t="n">
        <v>45558</v>
      </c>
      <c r="C187" s="69" t="inlineStr">
        <is>
          <t>USD</t>
        </is>
      </c>
      <c r="D187" s="70" t="n">
        <v>5.544</v>
      </c>
      <c r="E187" s="70" t="n">
        <v>5.5446</v>
      </c>
      <c r="F187" s="64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65" t="n"/>
      <c r="Z187" s="65" t="n"/>
    </row>
    <row r="188" ht="12.75" customHeight="1" s="85">
      <c r="A188" s="62" t="n"/>
      <c r="B188" s="68" t="n">
        <v>45559</v>
      </c>
      <c r="C188" s="69" t="inlineStr">
        <is>
          <t>USD</t>
        </is>
      </c>
      <c r="D188" s="70" t="n">
        <v>5.4696</v>
      </c>
      <c r="E188" s="70" t="n">
        <v>5.4702</v>
      </c>
      <c r="F188" s="64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65" t="n"/>
      <c r="Z188" s="65" t="n"/>
    </row>
    <row r="189" ht="12.75" customHeight="1" s="85">
      <c r="A189" s="62" t="n"/>
      <c r="B189" s="68" t="n">
        <v>45560</v>
      </c>
      <c r="C189" s="69" t="inlineStr">
        <is>
          <t>USD</t>
        </is>
      </c>
      <c r="D189" s="70" t="n">
        <v>5.473</v>
      </c>
      <c r="E189" s="70" t="n">
        <v>5.4736</v>
      </c>
      <c r="F189" s="64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65" t="n"/>
      <c r="Z189" s="65" t="n"/>
    </row>
    <row r="190" ht="12.75" customHeight="1" s="85">
      <c r="A190" s="62" t="n"/>
      <c r="B190" s="68" t="n">
        <v>45561</v>
      </c>
      <c r="C190" s="69" t="inlineStr">
        <is>
          <t>USD</t>
        </is>
      </c>
      <c r="D190" s="70" t="n">
        <v>5.4406</v>
      </c>
      <c r="E190" s="70" t="n">
        <v>5.4412</v>
      </c>
      <c r="F190" s="64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65" t="n"/>
      <c r="Z190" s="65" t="n"/>
    </row>
    <row r="191" ht="12.75" customHeight="1" s="85">
      <c r="A191" s="62" t="n"/>
      <c r="B191" s="68" t="n">
        <v>45562</v>
      </c>
      <c r="C191" s="69" t="inlineStr">
        <is>
          <t>USD</t>
        </is>
      </c>
      <c r="D191" s="70" t="n">
        <v>5.4425</v>
      </c>
      <c r="E191" s="70" t="n">
        <v>5.4431</v>
      </c>
      <c r="F191" s="64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65" t="n"/>
      <c r="Z191" s="65" t="n"/>
    </row>
    <row r="192" ht="12.75" customHeight="1" s="85">
      <c r="A192" s="62" t="n"/>
      <c r="B192" s="68" t="n">
        <v>45565</v>
      </c>
      <c r="C192" s="69" t="inlineStr">
        <is>
          <t>USD</t>
        </is>
      </c>
      <c r="D192" s="70" t="n">
        <v>5.4475</v>
      </c>
      <c r="E192" s="70" t="n">
        <v>5.4481</v>
      </c>
      <c r="F192" s="64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65" t="n"/>
      <c r="Z192" s="65" t="n"/>
    </row>
    <row r="193" ht="12.75" customHeight="1" s="85">
      <c r="A193" s="62" t="n"/>
      <c r="B193" s="68" t="n">
        <v>45566</v>
      </c>
      <c r="C193" s="69" t="inlineStr">
        <is>
          <t>USD</t>
        </is>
      </c>
      <c r="D193" s="70" t="n">
        <v>5.4515</v>
      </c>
      <c r="E193" s="70" t="n">
        <v>5.4521</v>
      </c>
      <c r="F193" s="64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65" t="n"/>
      <c r="Z193" s="65" t="n"/>
    </row>
    <row r="194" ht="12.75" customHeight="1" s="85">
      <c r="A194" s="62" t="n"/>
      <c r="B194" s="68" t="n">
        <v>45567</v>
      </c>
      <c r="C194" s="69" t="inlineStr">
        <is>
          <t>USD</t>
        </is>
      </c>
      <c r="D194" s="70" t="n">
        <v>5.4299</v>
      </c>
      <c r="E194" s="70" t="n">
        <v>5.4305</v>
      </c>
      <c r="F194" s="64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65" t="n"/>
      <c r="Z194" s="65" t="n"/>
    </row>
    <row r="195" ht="12.75" customHeight="1" s="85">
      <c r="A195" s="62" t="n"/>
      <c r="B195" s="68" t="n">
        <v>45568</v>
      </c>
      <c r="C195" s="69" t="inlineStr">
        <is>
          <t>USD</t>
        </is>
      </c>
      <c r="D195" s="70" t="n">
        <v>5.4844</v>
      </c>
      <c r="E195" s="70" t="n">
        <v>5.485</v>
      </c>
      <c r="F195" s="64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65" t="n"/>
      <c r="Z195" s="65" t="n"/>
    </row>
    <row r="196" ht="12.75" customHeight="1" s="85">
      <c r="A196" s="62" t="n"/>
      <c r="B196" s="68" t="n">
        <v>45569</v>
      </c>
      <c r="C196" s="69" t="inlineStr">
        <is>
          <t>USD</t>
        </is>
      </c>
      <c r="D196" s="70" t="n">
        <v>5.468</v>
      </c>
      <c r="E196" s="70" t="n">
        <v>5.4686</v>
      </c>
      <c r="F196" s="64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65" t="n"/>
      <c r="Z196" s="65" t="n"/>
    </row>
    <row r="197" ht="12.75" customHeight="1" s="85">
      <c r="A197" s="62" t="n"/>
      <c r="B197" s="68" t="n">
        <v>45572</v>
      </c>
      <c r="C197" s="69" t="inlineStr">
        <is>
          <t>USD</t>
        </is>
      </c>
      <c r="D197" s="70" t="n">
        <v>5.462</v>
      </c>
      <c r="E197" s="70" t="n">
        <v>5.4626</v>
      </c>
      <c r="F197" s="64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65" t="n"/>
      <c r="Z197" s="65" t="n"/>
    </row>
    <row r="198" ht="12.75" customHeight="1" s="85">
      <c r="A198" s="62" t="n"/>
      <c r="B198" s="68" t="n">
        <v>45573</v>
      </c>
      <c r="C198" s="69" t="inlineStr">
        <is>
          <t>USD</t>
        </is>
      </c>
      <c r="D198" s="70" t="n">
        <v>5.5191</v>
      </c>
      <c r="E198" s="70" t="n">
        <v>5.5197</v>
      </c>
      <c r="F198" s="64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65" t="n"/>
      <c r="Z198" s="65" t="n"/>
    </row>
    <row r="199" ht="12.75" customHeight="1" s="85">
      <c r="A199" s="62" t="n"/>
      <c r="B199" s="68" t="n">
        <v>45574</v>
      </c>
      <c r="C199" s="69" t="inlineStr">
        <is>
          <t>USD</t>
        </is>
      </c>
      <c r="D199" s="70" t="n">
        <v>5.5731</v>
      </c>
      <c r="E199" s="70" t="n">
        <v>5.5737</v>
      </c>
      <c r="F199" s="64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65" t="n"/>
      <c r="Z199" s="65" t="n"/>
    </row>
    <row r="200" ht="12.75" customHeight="1" s="85">
      <c r="A200" s="62" t="n"/>
      <c r="B200" s="68" t="n">
        <v>45575</v>
      </c>
      <c r="C200" s="69" t="inlineStr">
        <is>
          <t>USD</t>
        </is>
      </c>
      <c r="D200" s="70" t="n">
        <v>5.5813</v>
      </c>
      <c r="E200" s="70" t="n">
        <v>5.5819</v>
      </c>
      <c r="F200" s="64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65" t="n"/>
      <c r="Z200" s="65" t="n"/>
    </row>
    <row r="201" ht="12.75" customHeight="1" s="85">
      <c r="A201" s="62" t="n"/>
      <c r="B201" s="68" t="n">
        <v>45576</v>
      </c>
      <c r="C201" s="69" t="inlineStr">
        <is>
          <t>USD</t>
        </is>
      </c>
      <c r="D201" s="70" t="n">
        <v>5.6257</v>
      </c>
      <c r="E201" s="70" t="n">
        <v>5.6263</v>
      </c>
      <c r="F201" s="64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65" t="n"/>
      <c r="U201" s="65" t="n"/>
      <c r="V201" s="65" t="n"/>
      <c r="W201" s="65" t="n"/>
      <c r="X201" s="65" t="n"/>
      <c r="Y201" s="65" t="n"/>
      <c r="Z201" s="65" t="n"/>
    </row>
    <row r="202" ht="12.75" customHeight="1" s="85">
      <c r="A202" s="62" t="n"/>
      <c r="B202" s="68" t="n">
        <v>45579</v>
      </c>
      <c r="C202" s="69" t="inlineStr">
        <is>
          <t>USD</t>
        </is>
      </c>
      <c r="D202" s="70" t="n">
        <v>5.6039</v>
      </c>
      <c r="E202" s="70" t="n">
        <v>5.6045</v>
      </c>
      <c r="F202" s="64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5" t="n"/>
      <c r="X202" s="65" t="n"/>
      <c r="Y202" s="65" t="n"/>
      <c r="Z202" s="65" t="n"/>
    </row>
    <row r="203" ht="12.75" customHeight="1" s="85">
      <c r="A203" s="62" t="n"/>
      <c r="B203" s="68" t="n">
        <v>45580</v>
      </c>
      <c r="C203" s="69" t="inlineStr">
        <is>
          <t>USD</t>
        </is>
      </c>
      <c r="D203" s="70" t="n">
        <v>5.6372</v>
      </c>
      <c r="E203" s="70" t="n">
        <v>5.6378</v>
      </c>
      <c r="F203" s="64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65" t="n"/>
      <c r="U203" s="65" t="n"/>
      <c r="V203" s="65" t="n"/>
      <c r="W203" s="65" t="n"/>
      <c r="X203" s="65" t="n"/>
      <c r="Y203" s="65" t="n"/>
      <c r="Z203" s="65" t="n"/>
    </row>
    <row r="204" ht="12.75" customHeight="1" s="85">
      <c r="A204" s="62" t="n"/>
      <c r="B204" s="68" t="n">
        <v>45581</v>
      </c>
      <c r="C204" s="69" t="inlineStr">
        <is>
          <t>USD</t>
        </is>
      </c>
      <c r="D204" s="70" t="n">
        <v>5.6743</v>
      </c>
      <c r="E204" s="70" t="n">
        <v>5.6749</v>
      </c>
      <c r="F204" s="64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5" t="n"/>
      <c r="X204" s="65" t="n"/>
      <c r="Y204" s="65" t="n"/>
      <c r="Z204" s="65" t="n"/>
    </row>
    <row r="205" ht="12.75" customHeight="1" s="85">
      <c r="A205" s="62" t="n"/>
      <c r="B205" s="68" t="n">
        <v>45582</v>
      </c>
      <c r="C205" s="69" t="inlineStr">
        <is>
          <t>USD</t>
        </is>
      </c>
      <c r="D205" s="70" t="n">
        <v>5.6752</v>
      </c>
      <c r="E205" s="70" t="n">
        <v>5.6758</v>
      </c>
      <c r="F205" s="64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65" t="n"/>
      <c r="U205" s="65" t="n"/>
      <c r="V205" s="65" t="n"/>
      <c r="W205" s="65" t="n"/>
      <c r="X205" s="65" t="n"/>
      <c r="Y205" s="65" t="n"/>
      <c r="Z205" s="65" t="n"/>
    </row>
    <row r="206" ht="12.75" customHeight="1" s="85">
      <c r="A206" s="62" t="n"/>
      <c r="B206" s="68" t="n">
        <v>45583</v>
      </c>
      <c r="C206" s="69" t="inlineStr">
        <is>
          <t>USD</t>
        </is>
      </c>
      <c r="D206" s="70" t="n">
        <v>5.6666</v>
      </c>
      <c r="E206" s="70" t="n">
        <v>5.6672</v>
      </c>
      <c r="F206" s="64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5" t="n"/>
      <c r="X206" s="65" t="n"/>
      <c r="Y206" s="65" t="n"/>
      <c r="Z206" s="65" t="n"/>
    </row>
    <row r="207" ht="12.75" customHeight="1" s="85">
      <c r="A207" s="62" t="n"/>
      <c r="B207" s="68" t="n">
        <v>45586</v>
      </c>
      <c r="C207" s="69" t="inlineStr">
        <is>
          <t>USD</t>
        </is>
      </c>
      <c r="D207" s="70" t="n">
        <v>5.7062</v>
      </c>
      <c r="E207" s="70" t="n">
        <v>5.7068</v>
      </c>
      <c r="F207" s="64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65" t="n"/>
      <c r="T207" s="65" t="n"/>
      <c r="U207" s="65" t="n"/>
      <c r="V207" s="65" t="n"/>
      <c r="W207" s="65" t="n"/>
      <c r="X207" s="65" t="n"/>
      <c r="Y207" s="65" t="n"/>
      <c r="Z207" s="65" t="n"/>
    </row>
    <row r="208" ht="12.75" customHeight="1" s="85">
      <c r="A208" s="62" t="n"/>
      <c r="B208" s="68" t="n">
        <v>45587</v>
      </c>
      <c r="C208" s="69" t="inlineStr">
        <is>
          <t>USD</t>
        </is>
      </c>
      <c r="D208" s="70" t="n">
        <v>5.6952</v>
      </c>
      <c r="E208" s="70" t="n">
        <v>5.6958</v>
      </c>
      <c r="F208" s="64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5" t="n"/>
      <c r="X208" s="65" t="n"/>
      <c r="Y208" s="65" t="n"/>
      <c r="Z208" s="65" t="n"/>
    </row>
    <row r="209" ht="12.75" customHeight="1" s="85">
      <c r="A209" s="62" t="n"/>
      <c r="B209" s="68" t="n">
        <v>45588</v>
      </c>
      <c r="C209" s="69" t="inlineStr">
        <is>
          <t>USD</t>
        </is>
      </c>
      <c r="D209" s="70" t="n">
        <v>5.7143</v>
      </c>
      <c r="E209" s="70" t="n">
        <v>5.7149</v>
      </c>
      <c r="F209" s="64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65" t="n"/>
      <c r="R209" s="65" t="n"/>
      <c r="S209" s="65" t="n"/>
      <c r="T209" s="65" t="n"/>
      <c r="U209" s="65" t="n"/>
      <c r="V209" s="65" t="n"/>
      <c r="W209" s="65" t="n"/>
      <c r="X209" s="65" t="n"/>
      <c r="Y209" s="65" t="n"/>
      <c r="Z209" s="65" t="n"/>
    </row>
    <row r="210" ht="12.75" customHeight="1" s="85">
      <c r="A210" s="62" t="n"/>
      <c r="B210" s="68" t="n">
        <v>45589</v>
      </c>
      <c r="C210" s="69" t="inlineStr">
        <is>
          <t>USD</t>
        </is>
      </c>
      <c r="D210" s="70" t="n">
        <v>5.7081</v>
      </c>
      <c r="E210" s="70" t="n">
        <v>5.7087</v>
      </c>
      <c r="F210" s="64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5" t="n"/>
      <c r="X210" s="65" t="n"/>
      <c r="Y210" s="65" t="n"/>
      <c r="Z210" s="65" t="n"/>
    </row>
    <row r="211" ht="12.75" customHeight="1" s="85">
      <c r="A211" s="62" t="n"/>
      <c r="B211" s="68" t="n">
        <v>45590</v>
      </c>
      <c r="C211" s="69" t="inlineStr">
        <is>
          <t>USD</t>
        </is>
      </c>
      <c r="D211" s="70" t="n">
        <v>5.6963</v>
      </c>
      <c r="E211" s="70" t="n">
        <v>5.6969</v>
      </c>
      <c r="F211" s="64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65" t="n"/>
      <c r="U211" s="65" t="n"/>
      <c r="V211" s="65" t="n"/>
      <c r="W211" s="65" t="n"/>
      <c r="X211" s="65" t="n"/>
      <c r="Y211" s="65" t="n"/>
      <c r="Z211" s="65" t="n"/>
    </row>
    <row r="212" ht="12.75" customHeight="1" s="85">
      <c r="A212" s="62" t="n"/>
      <c r="B212" s="68" t="n">
        <v>45593</v>
      </c>
      <c r="C212" s="69" t="inlineStr">
        <is>
          <t>USD</t>
        </is>
      </c>
      <c r="D212" s="70" t="n">
        <v>5.6982</v>
      </c>
      <c r="E212" s="70" t="n">
        <v>5.6988</v>
      </c>
      <c r="F212" s="64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5" t="n"/>
      <c r="X212" s="65" t="n"/>
      <c r="Y212" s="65" t="n"/>
      <c r="Z212" s="65" t="n"/>
    </row>
    <row r="213" ht="12.75" customHeight="1" s="85">
      <c r="A213" s="62" t="n"/>
      <c r="B213" s="68" t="n">
        <v>45594</v>
      </c>
      <c r="C213" s="69" t="inlineStr">
        <is>
          <t>USD</t>
        </is>
      </c>
      <c r="D213" s="70" t="n">
        <v>5.7134</v>
      </c>
      <c r="E213" s="70" t="n">
        <v>5.714</v>
      </c>
      <c r="F213" s="64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65" t="n"/>
      <c r="U213" s="65" t="n"/>
      <c r="V213" s="65" t="n"/>
      <c r="W213" s="65" t="n"/>
      <c r="X213" s="65" t="n"/>
      <c r="Y213" s="65" t="n"/>
      <c r="Z213" s="65" t="n"/>
    </row>
    <row r="214" ht="12.75" customHeight="1" s="85">
      <c r="A214" s="62" t="n"/>
      <c r="B214" s="68" t="n">
        <v>45595</v>
      </c>
      <c r="C214" s="69" t="inlineStr">
        <is>
          <t>USD</t>
        </is>
      </c>
      <c r="D214" s="70" t="n">
        <v>5.7795</v>
      </c>
      <c r="E214" s="70" t="n">
        <v>5.7801</v>
      </c>
      <c r="F214" s="64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5" t="n"/>
      <c r="X214" s="65" t="n"/>
      <c r="Y214" s="65" t="n"/>
      <c r="Z214" s="65" t="n"/>
    </row>
    <row r="215" ht="12.75" customHeight="1" s="85">
      <c r="A215" s="62" t="n"/>
      <c r="B215" s="68" t="n">
        <v>45596</v>
      </c>
      <c r="C215" s="69" t="inlineStr">
        <is>
          <t>USD</t>
        </is>
      </c>
      <c r="D215" s="70" t="n">
        <v>5.7773</v>
      </c>
      <c r="E215" s="70" t="n">
        <v>5.7779</v>
      </c>
      <c r="F215" s="64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65" t="n"/>
      <c r="U215" s="65" t="n"/>
      <c r="V215" s="65" t="n"/>
      <c r="W215" s="65" t="n"/>
      <c r="X215" s="65" t="n"/>
      <c r="Y215" s="65" t="n"/>
      <c r="Z215" s="65" t="n"/>
    </row>
    <row r="216" ht="12.75" customHeight="1" s="85">
      <c r="A216" s="62" t="n"/>
      <c r="B216" s="68" t="n">
        <v>45597</v>
      </c>
      <c r="C216" s="69" t="inlineStr">
        <is>
          <t>USD</t>
        </is>
      </c>
      <c r="D216" s="70" t="n">
        <v>5.8067</v>
      </c>
      <c r="E216" s="70" t="n">
        <v>5.8073</v>
      </c>
      <c r="F216" s="64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5" t="n"/>
      <c r="X216" s="65" t="n"/>
      <c r="Y216" s="65" t="n"/>
      <c r="Z216" s="65" t="n"/>
    </row>
    <row r="217" ht="12.75" customHeight="1" s="85">
      <c r="A217" s="62" t="n"/>
      <c r="B217" s="68" t="n">
        <v>45600</v>
      </c>
      <c r="C217" s="69" t="inlineStr">
        <is>
          <t>USD</t>
        </is>
      </c>
      <c r="D217" s="70" t="n">
        <v>5.7892</v>
      </c>
      <c r="E217" s="70" t="n">
        <v>5.7898</v>
      </c>
      <c r="F217" s="64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65" t="n"/>
      <c r="U217" s="65" t="n"/>
      <c r="V217" s="65" t="n"/>
      <c r="W217" s="65" t="n"/>
      <c r="X217" s="65" t="n"/>
      <c r="Y217" s="65" t="n"/>
      <c r="Z217" s="65" t="n"/>
    </row>
    <row r="218" ht="12.75" customHeight="1" s="85">
      <c r="A218" s="62" t="n"/>
      <c r="B218" s="68" t="n">
        <v>45601</v>
      </c>
      <c r="C218" s="69" t="inlineStr">
        <is>
          <t>USD</t>
        </is>
      </c>
      <c r="D218" s="70" t="n">
        <v>5.784</v>
      </c>
      <c r="E218" s="70" t="n">
        <v>5.7846</v>
      </c>
      <c r="F218" s="64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5" t="n"/>
      <c r="X218" s="65" t="n"/>
      <c r="Y218" s="65" t="n"/>
      <c r="Z218" s="65" t="n"/>
    </row>
    <row r="219" ht="12.75" customHeight="1" s="85">
      <c r="A219" s="62" t="n"/>
      <c r="B219" s="68" t="n">
        <v>45602</v>
      </c>
      <c r="C219" s="69" t="inlineStr">
        <is>
          <t>USD</t>
        </is>
      </c>
      <c r="D219" s="70" t="n">
        <v>5.7642</v>
      </c>
      <c r="E219" s="70" t="n">
        <v>5.7648</v>
      </c>
      <c r="F219" s="64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65" t="n"/>
      <c r="U219" s="65" t="n"/>
      <c r="V219" s="65" t="n"/>
      <c r="W219" s="65" t="n"/>
      <c r="X219" s="65" t="n"/>
      <c r="Y219" s="65" t="n"/>
      <c r="Z219" s="65" t="n"/>
    </row>
    <row r="220" ht="12.75" customHeight="1" s="85">
      <c r="A220" s="62" t="n"/>
      <c r="B220" s="68" t="n">
        <v>45603</v>
      </c>
      <c r="C220" s="69" t="inlineStr">
        <is>
          <t>USD</t>
        </is>
      </c>
      <c r="D220" s="70" t="n">
        <v>5.6618</v>
      </c>
      <c r="E220" s="70" t="n">
        <v>5.6624</v>
      </c>
      <c r="F220" s="64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5" t="n"/>
      <c r="X220" s="65" t="n"/>
      <c r="Y220" s="65" t="n"/>
      <c r="Z220" s="65" t="n"/>
    </row>
    <row r="221" ht="12.75" customHeight="1" s="85">
      <c r="A221" s="62" t="n"/>
      <c r="B221" s="68" t="n">
        <v>45604</v>
      </c>
      <c r="C221" s="69" t="inlineStr">
        <is>
          <t>USD</t>
        </is>
      </c>
      <c r="D221" s="70" t="n">
        <v>5.7642</v>
      </c>
      <c r="E221" s="70" t="n">
        <v>5.7648</v>
      </c>
      <c r="F221" s="64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65" t="n"/>
      <c r="U221" s="65" t="n"/>
      <c r="V221" s="65" t="n"/>
      <c r="W221" s="65" t="n"/>
      <c r="X221" s="65" t="n"/>
      <c r="Y221" s="65" t="n"/>
      <c r="Z221" s="65" t="n"/>
    </row>
    <row r="222" ht="12.75" customHeight="1" s="85">
      <c r="A222" s="62" t="n"/>
      <c r="B222" s="68" t="n">
        <v>45607</v>
      </c>
      <c r="C222" s="69" t="inlineStr">
        <is>
          <t>USD</t>
        </is>
      </c>
      <c r="D222" s="70" t="n">
        <v>5.7974</v>
      </c>
      <c r="E222" s="70" t="n">
        <v>5.798</v>
      </c>
      <c r="F222" s="64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5" t="n"/>
      <c r="X222" s="65" t="n"/>
      <c r="Y222" s="65" t="n"/>
      <c r="Z222" s="65" t="n"/>
    </row>
    <row r="223" ht="12.75" customHeight="1" s="85">
      <c r="A223" s="62" t="n"/>
      <c r="B223" s="68" t="n">
        <v>45608</v>
      </c>
      <c r="C223" s="69" t="inlineStr">
        <is>
          <t>USD</t>
        </is>
      </c>
      <c r="D223" s="70" t="n">
        <v>5.7688</v>
      </c>
      <c r="E223" s="70" t="n">
        <v>5.7694</v>
      </c>
      <c r="F223" s="64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65" t="n"/>
      <c r="U223" s="65" t="n"/>
      <c r="V223" s="65" t="n"/>
      <c r="W223" s="65" t="n"/>
      <c r="X223" s="65" t="n"/>
      <c r="Y223" s="65" t="n"/>
      <c r="Z223" s="65" t="n"/>
    </row>
    <row r="224" ht="12.75" customHeight="1" s="85">
      <c r="A224" s="62" t="n"/>
      <c r="B224" s="68" t="n">
        <v>45609</v>
      </c>
      <c r="C224" s="69" t="inlineStr">
        <is>
          <t>USD</t>
        </is>
      </c>
      <c r="D224" s="70" t="n">
        <v>5.7707</v>
      </c>
      <c r="E224" s="70" t="n">
        <v>5.7713</v>
      </c>
      <c r="F224" s="64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5" t="n"/>
      <c r="X224" s="65" t="n"/>
      <c r="Y224" s="65" t="n"/>
      <c r="Z224" s="65" t="n"/>
    </row>
    <row r="225" ht="12.75" customHeight="1" s="85">
      <c r="A225" s="62" t="n"/>
      <c r="B225" s="68" t="n">
        <v>45610</v>
      </c>
      <c r="C225" s="69" t="inlineStr">
        <is>
          <t>USD</t>
        </is>
      </c>
      <c r="D225" s="70" t="n">
        <v>5.7879</v>
      </c>
      <c r="E225" s="70" t="n">
        <v>5.7885</v>
      </c>
      <c r="F225" s="64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65" t="n"/>
      <c r="U225" s="65" t="n"/>
      <c r="V225" s="65" t="n"/>
      <c r="W225" s="65" t="n"/>
      <c r="X225" s="65" t="n"/>
      <c r="Y225" s="65" t="n"/>
      <c r="Z225" s="65" t="n"/>
    </row>
    <row r="226" ht="12.75" customHeight="1" s="85">
      <c r="A226" s="62" t="n"/>
      <c r="B226" s="68" t="n">
        <v>45614</v>
      </c>
      <c r="C226" s="69" t="inlineStr">
        <is>
          <t>USD</t>
        </is>
      </c>
      <c r="D226" s="70" t="n">
        <v>5.7597</v>
      </c>
      <c r="E226" s="70" t="n">
        <v>5.7603</v>
      </c>
      <c r="F226" s="64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5" t="n"/>
      <c r="X226" s="65" t="n"/>
      <c r="Y226" s="65" t="n"/>
      <c r="Z226" s="65" t="n"/>
    </row>
    <row r="227" ht="12.75" customHeight="1" s="85">
      <c r="A227" s="62" t="n"/>
      <c r="B227" s="68" t="n">
        <v>45615</v>
      </c>
      <c r="C227" s="69" t="inlineStr">
        <is>
          <t>USD</t>
        </is>
      </c>
      <c r="D227" s="70" t="n">
        <v>5.7737</v>
      </c>
      <c r="E227" s="70" t="n">
        <v>5.7743</v>
      </c>
      <c r="F227" s="64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65" t="n"/>
      <c r="R227" s="65" t="n"/>
      <c r="S227" s="65" t="n"/>
      <c r="T227" s="65" t="n"/>
      <c r="U227" s="65" t="n"/>
      <c r="V227" s="65" t="n"/>
      <c r="W227" s="65" t="n"/>
      <c r="X227" s="65" t="n"/>
      <c r="Y227" s="65" t="n"/>
      <c r="Z227" s="65" t="n"/>
    </row>
    <row r="228" ht="12.75" customHeight="1" s="85">
      <c r="A228" s="62" t="n"/>
      <c r="B228" s="68" t="n">
        <v>45617</v>
      </c>
      <c r="C228" s="69" t="inlineStr">
        <is>
          <t>USD</t>
        </is>
      </c>
      <c r="D228" s="70" t="n">
        <v>5.8167</v>
      </c>
      <c r="E228" s="70" t="n">
        <v>5.8173</v>
      </c>
      <c r="F228" s="64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5" t="n"/>
      <c r="X228" s="65" t="n"/>
      <c r="Y228" s="65" t="n"/>
      <c r="Z228" s="65" t="n"/>
    </row>
    <row r="229" ht="12.75" customHeight="1" s="85">
      <c r="A229" s="62" t="n"/>
      <c r="B229" s="68" t="n">
        <v>45618</v>
      </c>
      <c r="C229" s="69" t="inlineStr">
        <is>
          <t>USD</t>
        </is>
      </c>
      <c r="D229" s="70" t="n">
        <v>5.8118</v>
      </c>
      <c r="E229" s="70" t="n">
        <v>5.8124</v>
      </c>
      <c r="F229" s="64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65" t="n"/>
      <c r="R229" s="65" t="n"/>
      <c r="S229" s="65" t="n"/>
      <c r="T229" s="65" t="n"/>
      <c r="U229" s="65" t="n"/>
      <c r="V229" s="65" t="n"/>
      <c r="W229" s="65" t="n"/>
      <c r="X229" s="65" t="n"/>
      <c r="Y229" s="65" t="n"/>
      <c r="Z229" s="65" t="n"/>
    </row>
    <row r="230" ht="12.75" customHeight="1" s="85">
      <c r="A230" s="62" t="n"/>
      <c r="B230" s="68" t="n">
        <v>45621</v>
      </c>
      <c r="C230" s="69" t="inlineStr">
        <is>
          <t>USD</t>
        </is>
      </c>
      <c r="D230" s="70" t="n">
        <v>5.7996</v>
      </c>
      <c r="E230" s="70" t="n">
        <v>5.8002</v>
      </c>
      <c r="F230" s="64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5" t="n"/>
      <c r="X230" s="65" t="n"/>
      <c r="Y230" s="65" t="n"/>
      <c r="Z230" s="65" t="n"/>
    </row>
    <row r="231" ht="12.75" customHeight="1" s="85">
      <c r="A231" s="62" t="n"/>
      <c r="B231" s="68" t="n">
        <v>45622</v>
      </c>
      <c r="C231" s="69" t="inlineStr">
        <is>
          <t>USD</t>
        </is>
      </c>
      <c r="D231" s="70" t="n">
        <v>5.7984</v>
      </c>
      <c r="E231" s="70" t="n">
        <v>5.799</v>
      </c>
      <c r="F231" s="64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65" t="n"/>
      <c r="R231" s="65" t="n"/>
      <c r="S231" s="65" t="n"/>
      <c r="T231" s="65" t="n"/>
      <c r="U231" s="65" t="n"/>
      <c r="V231" s="65" t="n"/>
      <c r="W231" s="65" t="n"/>
      <c r="X231" s="65" t="n"/>
      <c r="Y231" s="65" t="n"/>
      <c r="Z231" s="65" t="n"/>
    </row>
    <row r="232" ht="12.75" customHeight="1" s="85">
      <c r="A232" s="62" t="n"/>
      <c r="B232" s="68" t="n">
        <v>45623</v>
      </c>
      <c r="C232" s="69" t="inlineStr">
        <is>
          <t>USD</t>
        </is>
      </c>
      <c r="D232" s="70" t="n">
        <v>5.8285</v>
      </c>
      <c r="E232" s="70" t="n">
        <v>5.8291</v>
      </c>
      <c r="F232" s="64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5" t="n"/>
      <c r="X232" s="65" t="n"/>
      <c r="Y232" s="65" t="n"/>
      <c r="Z232" s="65" t="n"/>
    </row>
    <row r="233" ht="12.75" customHeight="1" s="85">
      <c r="A233" s="62" t="n"/>
      <c r="B233" s="68" t="n">
        <v>45624</v>
      </c>
      <c r="C233" s="69" t="inlineStr">
        <is>
          <t>USD</t>
        </is>
      </c>
      <c r="D233" s="70" t="n">
        <v>5.9865</v>
      </c>
      <c r="E233" s="70" t="n">
        <v>5.9871</v>
      </c>
      <c r="F233" s="64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65" t="n"/>
      <c r="T233" s="65" t="n"/>
      <c r="U233" s="65" t="n"/>
      <c r="V233" s="65" t="n"/>
      <c r="W233" s="65" t="n"/>
      <c r="X233" s="65" t="n"/>
      <c r="Y233" s="65" t="n"/>
      <c r="Z233" s="65" t="n"/>
    </row>
    <row r="234" ht="12.75" customHeight="1" s="85">
      <c r="A234" s="62" t="n"/>
      <c r="B234" s="68" t="n">
        <v>45625</v>
      </c>
      <c r="C234" s="69" t="inlineStr">
        <is>
          <t>USD</t>
        </is>
      </c>
      <c r="D234" s="70" t="n">
        <v>6.0529</v>
      </c>
      <c r="E234" s="70" t="n">
        <v>6.0535</v>
      </c>
      <c r="F234" s="64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5" t="n"/>
      <c r="X234" s="65" t="n"/>
      <c r="Y234" s="65" t="n"/>
      <c r="Z234" s="65" t="n"/>
    </row>
    <row r="235" ht="12.75" customHeight="1" s="85">
      <c r="A235" s="62" t="n"/>
      <c r="B235" s="68" t="n">
        <v>45628</v>
      </c>
      <c r="C235" s="69" t="inlineStr">
        <is>
          <t>USD</t>
        </is>
      </c>
      <c r="D235" s="70" t="n">
        <v>6.0628</v>
      </c>
      <c r="E235" s="70" t="n">
        <v>6.0634</v>
      </c>
      <c r="F235" s="64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65" t="n"/>
      <c r="R235" s="65" t="n"/>
      <c r="S235" s="65" t="n"/>
      <c r="T235" s="65" t="n"/>
      <c r="U235" s="65" t="n"/>
      <c r="V235" s="65" t="n"/>
      <c r="W235" s="65" t="n"/>
      <c r="X235" s="65" t="n"/>
      <c r="Y235" s="65" t="n"/>
      <c r="Z235" s="65" t="n"/>
    </row>
    <row r="236" ht="12.75" customHeight="1" s="85">
      <c r="A236" s="62" t="n"/>
      <c r="B236" s="68" t="n">
        <v>45629</v>
      </c>
      <c r="C236" s="69" t="inlineStr">
        <is>
          <t>USD</t>
        </is>
      </c>
      <c r="D236" s="70" t="n">
        <v>6.0701</v>
      </c>
      <c r="E236" s="70" t="n">
        <v>6.0707</v>
      </c>
      <c r="F236" s="64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5" t="n"/>
      <c r="X236" s="65" t="n"/>
      <c r="Y236" s="65" t="n"/>
      <c r="Z236" s="65" t="n"/>
    </row>
    <row r="237" ht="12.75" customHeight="1" s="85">
      <c r="A237" s="62" t="n"/>
      <c r="B237" s="68" t="n">
        <v>45630</v>
      </c>
      <c r="C237" s="69" t="inlineStr">
        <is>
          <t>USD</t>
        </is>
      </c>
      <c r="D237" s="70" t="n">
        <v>6.0575</v>
      </c>
      <c r="E237" s="70" t="n">
        <v>6.0581</v>
      </c>
      <c r="F237" s="64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65" t="n"/>
      <c r="R237" s="65" t="n"/>
      <c r="S237" s="65" t="n"/>
      <c r="T237" s="65" t="n"/>
      <c r="U237" s="65" t="n"/>
      <c r="V237" s="65" t="n"/>
      <c r="W237" s="65" t="n"/>
      <c r="X237" s="65" t="n"/>
      <c r="Y237" s="65" t="n"/>
      <c r="Z237" s="65" t="n"/>
    </row>
    <row r="238" ht="12.75" customHeight="1" s="85">
      <c r="A238" s="62" t="n"/>
      <c r="B238" s="68" t="n">
        <v>45631</v>
      </c>
      <c r="C238" s="69" t="inlineStr">
        <is>
          <t>USD</t>
        </is>
      </c>
      <c r="D238" s="70" t="n">
        <v>5.9843</v>
      </c>
      <c r="E238" s="70" t="n">
        <v>5.9849</v>
      </c>
      <c r="F238" s="64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5" t="n"/>
      <c r="X238" s="65" t="n"/>
      <c r="Y238" s="65" t="n"/>
      <c r="Z238" s="65" t="n"/>
    </row>
    <row r="239" ht="12.75" customHeight="1" s="85">
      <c r="A239" s="62" t="n"/>
      <c r="B239" s="68" t="n">
        <v>45632</v>
      </c>
      <c r="C239" s="69" t="inlineStr">
        <is>
          <t>USD</t>
        </is>
      </c>
      <c r="D239" s="70" t="n">
        <v>6.0287</v>
      </c>
      <c r="E239" s="70" t="n">
        <v>6.0293</v>
      </c>
      <c r="F239" s="64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65" t="n"/>
      <c r="R239" s="65" t="n"/>
      <c r="S239" s="65" t="n"/>
      <c r="T239" s="65" t="n"/>
      <c r="U239" s="65" t="n"/>
      <c r="V239" s="65" t="n"/>
      <c r="W239" s="65" t="n"/>
      <c r="X239" s="65" t="n"/>
      <c r="Y239" s="65" t="n"/>
      <c r="Z239" s="65" t="n"/>
    </row>
    <row r="240" ht="12.75" customHeight="1" s="85">
      <c r="A240" s="62" t="n"/>
      <c r="B240" s="68" t="n">
        <v>45635</v>
      </c>
      <c r="C240" s="69" t="inlineStr">
        <is>
          <t>USD</t>
        </is>
      </c>
      <c r="D240" s="70" t="n">
        <v>6.0564</v>
      </c>
      <c r="E240" s="70" t="n">
        <v>6.057</v>
      </c>
      <c r="F240" s="64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5" t="n"/>
      <c r="X240" s="65" t="n"/>
      <c r="Y240" s="65" t="n"/>
      <c r="Z240" s="65" t="n"/>
    </row>
    <row r="241" ht="12.75" customHeight="1" s="85">
      <c r="A241" s="62" t="n"/>
      <c r="B241" s="68" t="n">
        <v>45636</v>
      </c>
      <c r="C241" s="69" t="inlineStr">
        <is>
          <t>USD</t>
        </is>
      </c>
      <c r="D241" s="70" t="n">
        <v>6.0523</v>
      </c>
      <c r="E241" s="70" t="n">
        <v>6.0529</v>
      </c>
      <c r="F241" s="64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65" t="n"/>
      <c r="T241" s="65" t="n"/>
      <c r="U241" s="65" t="n"/>
      <c r="V241" s="65" t="n"/>
      <c r="W241" s="65" t="n"/>
      <c r="X241" s="65" t="n"/>
      <c r="Y241" s="65" t="n"/>
      <c r="Z241" s="65" t="n"/>
    </row>
    <row r="242" ht="12.75" customHeight="1" s="85">
      <c r="A242" s="62" t="n"/>
      <c r="B242" s="68" t="n">
        <v>45637</v>
      </c>
      <c r="C242" s="69" t="inlineStr">
        <is>
          <t>USD</t>
        </is>
      </c>
      <c r="D242" s="70" t="n">
        <v>6.0314</v>
      </c>
      <c r="E242" s="70" t="n">
        <v>6.032</v>
      </c>
      <c r="F242" s="64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5" t="n"/>
      <c r="X242" s="65" t="n"/>
      <c r="Y242" s="65" t="n"/>
      <c r="Z242" s="65" t="n"/>
    </row>
    <row r="243" ht="12.75" customHeight="1" s="85">
      <c r="A243" s="62" t="n"/>
      <c r="B243" s="68" t="n">
        <v>45638</v>
      </c>
      <c r="C243" s="69" t="inlineStr">
        <is>
          <t>USD</t>
        </is>
      </c>
      <c r="D243" s="70" t="n">
        <v>5.9402</v>
      </c>
      <c r="E243" s="70" t="n">
        <v>5.9408</v>
      </c>
      <c r="F243" s="64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65" t="n"/>
      <c r="R243" s="65" t="n"/>
      <c r="S243" s="65" t="n"/>
      <c r="T243" s="65" t="n"/>
      <c r="U243" s="65" t="n"/>
      <c r="V243" s="65" t="n"/>
      <c r="W243" s="65" t="n"/>
      <c r="X243" s="65" t="n"/>
      <c r="Y243" s="65" t="n"/>
      <c r="Z243" s="65" t="n"/>
    </row>
    <row r="244" ht="12.75" customHeight="1" s="85">
      <c r="A244" s="62" t="n"/>
      <c r="B244" s="68" t="n">
        <v>45639</v>
      </c>
      <c r="C244" s="69" t="inlineStr">
        <is>
          <t>USD</t>
        </is>
      </c>
      <c r="D244" s="70" t="n">
        <v>6.0394</v>
      </c>
      <c r="E244" s="70" t="n">
        <v>6.04</v>
      </c>
      <c r="F244" s="64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5" t="n"/>
      <c r="X244" s="65" t="n"/>
      <c r="Y244" s="65" t="n"/>
      <c r="Z244" s="65" t="n"/>
    </row>
    <row r="245" ht="12.75" customHeight="1" s="85">
      <c r="A245" s="62" t="n"/>
      <c r="B245" s="68" t="n">
        <v>45642</v>
      </c>
      <c r="C245" s="69" t="inlineStr">
        <is>
          <t>USD</t>
        </is>
      </c>
      <c r="D245" s="70" t="n">
        <v>6.0504</v>
      </c>
      <c r="E245" s="70" t="n">
        <v>6.0509</v>
      </c>
      <c r="F245" s="64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65" t="n"/>
      <c r="R245" s="65" t="n"/>
      <c r="S245" s="65" t="n"/>
      <c r="T245" s="65" t="n"/>
      <c r="U245" s="65" t="n"/>
      <c r="V245" s="65" t="n"/>
      <c r="W245" s="65" t="n"/>
      <c r="X245" s="65" t="n"/>
      <c r="Y245" s="65" t="n"/>
      <c r="Z245" s="65" t="n"/>
    </row>
    <row r="246" ht="12.75" customHeight="1" s="85">
      <c r="A246" s="62" t="n"/>
      <c r="B246" s="68" t="n">
        <v>45643</v>
      </c>
      <c r="C246" s="69" t="inlineStr">
        <is>
          <t>USD</t>
        </is>
      </c>
      <c r="D246" s="70" t="n">
        <v>6.1679</v>
      </c>
      <c r="E246" s="70" t="n">
        <v>6.1685</v>
      </c>
      <c r="F246" s="64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5" t="n"/>
      <c r="X246" s="65" t="n"/>
      <c r="Y246" s="65" t="n"/>
      <c r="Z246" s="65" t="n"/>
    </row>
    <row r="247" ht="12.75" customHeight="1" s="85">
      <c r="A247" s="62" t="n"/>
      <c r="B247" s="68" t="n">
        <v>45644</v>
      </c>
      <c r="C247" s="69" t="inlineStr">
        <is>
          <t>USD</t>
        </is>
      </c>
      <c r="D247" s="70" t="n">
        <v>6.1618</v>
      </c>
      <c r="E247" s="70" t="n">
        <v>6.1624</v>
      </c>
      <c r="F247" s="64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65" t="n"/>
      <c r="R247" s="65" t="n"/>
      <c r="S247" s="65" t="n"/>
      <c r="T247" s="65" t="n"/>
      <c r="U247" s="65" t="n"/>
      <c r="V247" s="65" t="n"/>
      <c r="W247" s="65" t="n"/>
      <c r="X247" s="65" t="n"/>
      <c r="Y247" s="65" t="n"/>
      <c r="Z247" s="65" t="n"/>
    </row>
    <row r="248" ht="12.75" customHeight="1" s="85">
      <c r="A248" s="62" t="n"/>
      <c r="B248" s="68" t="n">
        <v>45645</v>
      </c>
      <c r="C248" s="69" t="inlineStr">
        <is>
          <t>USD</t>
        </is>
      </c>
      <c r="D248" s="70" t="n">
        <v>6.1835</v>
      </c>
      <c r="E248" s="70" t="n">
        <v>6.1841</v>
      </c>
      <c r="F248" s="64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5" t="n"/>
      <c r="X248" s="65" t="n"/>
      <c r="Y248" s="65" t="n"/>
      <c r="Z248" s="65" t="n"/>
    </row>
    <row r="249" ht="12.75" customHeight="1" s="85">
      <c r="A249" s="62" t="n"/>
      <c r="B249" s="68" t="n">
        <v>45646</v>
      </c>
      <c r="C249" s="69" t="inlineStr">
        <is>
          <t>USD</t>
        </is>
      </c>
      <c r="D249" s="70" t="n">
        <v>6.0774</v>
      </c>
      <c r="E249" s="70" t="n">
        <v>6.078</v>
      </c>
      <c r="F249" s="64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65" t="n"/>
      <c r="R249" s="65" t="n"/>
      <c r="S249" s="65" t="n"/>
      <c r="T249" s="65" t="n"/>
      <c r="U249" s="65" t="n"/>
      <c r="V249" s="65" t="n"/>
      <c r="W249" s="65" t="n"/>
      <c r="X249" s="65" t="n"/>
      <c r="Y249" s="65" t="n"/>
      <c r="Z249" s="65" t="n"/>
    </row>
    <row r="250" ht="12.75" customHeight="1" s="85">
      <c r="A250" s="62" t="n"/>
      <c r="B250" s="68" t="n">
        <v>45649</v>
      </c>
      <c r="C250" s="69" t="inlineStr">
        <is>
          <t>USD</t>
        </is>
      </c>
      <c r="D250" s="70" t="n">
        <v>6.1606</v>
      </c>
      <c r="E250" s="70" t="n">
        <v>6.1612</v>
      </c>
      <c r="F250" s="64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  <c r="X250" s="65" t="n"/>
      <c r="Y250" s="65" t="n"/>
      <c r="Z250" s="65" t="n"/>
    </row>
    <row r="251" ht="12.75" customHeight="1" s="85">
      <c r="A251" s="62" t="n"/>
      <c r="B251" s="68" t="n">
        <v>45650</v>
      </c>
      <c r="C251" s="69" t="inlineStr">
        <is>
          <t>USD</t>
        </is>
      </c>
      <c r="D251" s="70" t="n">
        <v>6.1527</v>
      </c>
      <c r="E251" s="70" t="n">
        <v>6.1541</v>
      </c>
      <c r="F251" s="64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65" t="n"/>
      <c r="R251" s="65" t="n"/>
      <c r="S251" s="65" t="n"/>
      <c r="T251" s="65" t="n"/>
      <c r="U251" s="65" t="n"/>
      <c r="V251" s="65" t="n"/>
      <c r="W251" s="65" t="n"/>
      <c r="X251" s="65" t="n"/>
      <c r="Y251" s="65" t="n"/>
      <c r="Z251" s="65" t="n"/>
    </row>
    <row r="252" ht="12.75" customHeight="1" s="85">
      <c r="A252" s="62" t="n"/>
      <c r="B252" s="68" t="n">
        <v>45652</v>
      </c>
      <c r="C252" s="69" t="inlineStr">
        <is>
          <t>USD</t>
        </is>
      </c>
      <c r="D252" s="70" t="n">
        <v>6.165</v>
      </c>
      <c r="E252" s="70" t="n">
        <v>6.1656</v>
      </c>
      <c r="F252" s="64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5" t="n"/>
      <c r="X252" s="65" t="n"/>
      <c r="Y252" s="65" t="n"/>
      <c r="Z252" s="65" t="n"/>
    </row>
    <row r="253" ht="12.75" customHeight="1" s="85">
      <c r="A253" s="62" t="n"/>
      <c r="B253" s="68" t="n">
        <v>45653</v>
      </c>
      <c r="C253" s="69" t="inlineStr">
        <is>
          <t>USD</t>
        </is>
      </c>
      <c r="D253" s="70" t="n">
        <v>6.1985</v>
      </c>
      <c r="E253" s="70" t="n">
        <v>6.1991</v>
      </c>
      <c r="F253" s="64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65" t="n"/>
      <c r="R253" s="65" t="n"/>
      <c r="S253" s="65" t="n"/>
      <c r="T253" s="65" t="n"/>
      <c r="U253" s="65" t="n"/>
      <c r="V253" s="65" t="n"/>
      <c r="W253" s="65" t="n"/>
      <c r="X253" s="65" t="n"/>
      <c r="Y253" s="65" t="n"/>
      <c r="Z253" s="65" t="n"/>
    </row>
    <row r="254" ht="12.75" customHeight="1" s="85">
      <c r="A254" s="62" t="n"/>
      <c r="B254" s="68" t="n">
        <v>45656</v>
      </c>
      <c r="C254" s="69" t="inlineStr">
        <is>
          <t>USD</t>
        </is>
      </c>
      <c r="D254" s="70" t="n">
        <v>6.1917</v>
      </c>
      <c r="E254" s="70" t="n">
        <v>6.1923</v>
      </c>
      <c r="F254" s="64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5" t="n"/>
      <c r="X254" s="65" t="n"/>
      <c r="Y254" s="65" t="n"/>
      <c r="Z254" s="65" t="n"/>
    </row>
    <row r="255" ht="12.75" customHeight="1" s="85">
      <c r="A255" s="62" t="n"/>
      <c r="B255" s="68" t="n">
        <v>45657</v>
      </c>
      <c r="C255" s="69" t="inlineStr">
        <is>
          <t>USD</t>
        </is>
      </c>
      <c r="D255" s="70" t="n">
        <v>6.1917</v>
      </c>
      <c r="E255" s="70" t="n">
        <v>6.1923</v>
      </c>
      <c r="F255" s="64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65" t="n"/>
      <c r="R255" s="65" t="n"/>
      <c r="S255" s="65" t="n"/>
      <c r="T255" s="65" t="n"/>
      <c r="U255" s="65" t="n"/>
      <c r="V255" s="65" t="n"/>
      <c r="W255" s="65" t="n"/>
      <c r="X255" s="65" t="n"/>
      <c r="Y255" s="65" t="n"/>
      <c r="Z255" s="65" t="n"/>
    </row>
    <row r="256" ht="12.75" customHeight="1" s="85">
      <c r="A256" s="64" t="n"/>
      <c r="B256" s="68" t="n">
        <v>45659</v>
      </c>
      <c r="C256" s="69" t="inlineStr">
        <is>
          <t>USD</t>
        </is>
      </c>
      <c r="D256" s="69" t="n">
        <v>6.208</v>
      </c>
      <c r="E256" s="69" t="n">
        <v>6.2086</v>
      </c>
      <c r="F256" s="64" t="n"/>
      <c r="G256" s="71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5" t="n"/>
      <c r="X256" s="65" t="n"/>
      <c r="Y256" s="65" t="n"/>
      <c r="Z256" s="65" t="n"/>
    </row>
    <row r="257" ht="12.75" customHeight="1" s="85">
      <c r="A257" s="65" t="n"/>
      <c r="B257" s="68" t="n">
        <v>45660</v>
      </c>
      <c r="C257" s="69" t="inlineStr">
        <is>
          <t>USD</t>
        </is>
      </c>
      <c r="D257" s="69" t="n">
        <v>6.1557</v>
      </c>
      <c r="E257" s="69" t="n">
        <v>6.1563</v>
      </c>
      <c r="F257" s="65" t="n"/>
      <c r="G257" s="71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65" t="n"/>
      <c r="R257" s="65" t="n"/>
      <c r="S257" s="65" t="n"/>
      <c r="T257" s="65" t="n"/>
      <c r="U257" s="65" t="n"/>
      <c r="V257" s="65" t="n"/>
      <c r="W257" s="65" t="n"/>
      <c r="X257" s="65" t="n"/>
      <c r="Y257" s="65" t="n"/>
      <c r="Z257" s="65" t="n"/>
    </row>
    <row r="258" ht="12.75" customHeight="1" s="85">
      <c r="A258" s="65" t="n"/>
      <c r="B258" s="68" t="n">
        <v>45663</v>
      </c>
      <c r="C258" s="69" t="inlineStr">
        <is>
          <t>USD</t>
        </is>
      </c>
      <c r="D258" s="69" t="n">
        <v>6.1113</v>
      </c>
      <c r="E258" s="69" t="n">
        <v>6.1119</v>
      </c>
      <c r="F258" s="65" t="n"/>
      <c r="G258" s="71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5" t="n"/>
      <c r="X258" s="65" t="n"/>
      <c r="Y258" s="65" t="n"/>
      <c r="Z258" s="65" t="n"/>
    </row>
    <row r="259" ht="12.75" customHeight="1" s="85">
      <c r="A259" s="65" t="n"/>
      <c r="B259" s="68" t="n">
        <v>45664</v>
      </c>
      <c r="C259" s="69" t="inlineStr">
        <is>
          <t>USD</t>
        </is>
      </c>
      <c r="D259" s="69" t="n">
        <v>6.0735</v>
      </c>
      <c r="E259" s="69" t="n">
        <v>6.0741</v>
      </c>
      <c r="F259" s="65" t="n"/>
      <c r="G259" s="71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 t="n"/>
      <c r="S259" s="65" t="n"/>
      <c r="T259" s="65" t="n"/>
      <c r="U259" s="65" t="n"/>
      <c r="V259" s="65" t="n"/>
      <c r="W259" s="65" t="n"/>
      <c r="X259" s="65" t="n"/>
      <c r="Y259" s="65" t="n"/>
      <c r="Z259" s="65" t="n"/>
    </row>
    <row r="260" ht="12.75" customHeight="1" s="85">
      <c r="A260" s="65" t="n"/>
      <c r="B260" s="68" t="n">
        <v>45665</v>
      </c>
      <c r="C260" s="69" t="inlineStr">
        <is>
          <t>USD</t>
        </is>
      </c>
      <c r="D260" s="69" t="n">
        <v>6.1315</v>
      </c>
      <c r="E260" s="69" t="n">
        <v>6.1321</v>
      </c>
      <c r="F260" s="65" t="n"/>
      <c r="G260" s="71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5" t="n"/>
      <c r="X260" s="65" t="n"/>
      <c r="Y260" s="65" t="n"/>
      <c r="Z260" s="65" t="n"/>
    </row>
    <row r="261" ht="12.75" customHeight="1" s="85">
      <c r="A261" s="65" t="n"/>
      <c r="B261" s="68" t="n">
        <v>45666</v>
      </c>
      <c r="C261" s="69" t="inlineStr">
        <is>
          <t>USD</t>
        </is>
      </c>
      <c r="D261" s="69" t="n">
        <v>6.089</v>
      </c>
      <c r="E261" s="69" t="n">
        <v>6.0896</v>
      </c>
      <c r="F261" s="65" t="n"/>
      <c r="G261" s="71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  <c r="X261" s="65" t="n"/>
      <c r="Y261" s="65" t="n"/>
      <c r="Z261" s="65" t="n"/>
    </row>
    <row r="262" ht="12.75" customHeight="1" s="85">
      <c r="A262" s="65" t="n"/>
      <c r="B262" s="68" t="n">
        <v>45667</v>
      </c>
      <c r="C262" s="69" t="inlineStr">
        <is>
          <t>USD</t>
        </is>
      </c>
      <c r="D262" s="69" t="n">
        <v>6.0959</v>
      </c>
      <c r="E262" s="69" t="n">
        <v>6.0965</v>
      </c>
      <c r="F262" s="65" t="n"/>
      <c r="G262" s="71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5" t="n"/>
      <c r="X262" s="65" t="n"/>
      <c r="Y262" s="65" t="n"/>
      <c r="Z262" s="65" t="n"/>
    </row>
    <row r="263" ht="12.75" customHeight="1" s="85">
      <c r="A263" s="65" t="n"/>
      <c r="B263" s="68" t="n">
        <v>45670</v>
      </c>
      <c r="C263" s="69" t="inlineStr">
        <is>
          <t>USD</t>
        </is>
      </c>
      <c r="D263" s="69" t="n">
        <v>6.1073</v>
      </c>
      <c r="E263" s="69" t="n">
        <v>6.1079</v>
      </c>
      <c r="F263" s="65" t="n"/>
      <c r="G263" s="71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 t="n"/>
      <c r="S263" s="65" t="n"/>
      <c r="T263" s="65" t="n"/>
      <c r="U263" s="65" t="n"/>
      <c r="V263" s="65" t="n"/>
      <c r="W263" s="65" t="n"/>
      <c r="X263" s="65" t="n"/>
      <c r="Y263" s="65" t="n"/>
      <c r="Z263" s="65" t="n"/>
    </row>
    <row r="264" ht="12.75" customHeight="1" s="85">
      <c r="A264" s="65" t="n"/>
      <c r="B264" s="68" t="n">
        <v>45671</v>
      </c>
      <c r="C264" s="69" t="inlineStr">
        <is>
          <t>USD</t>
        </is>
      </c>
      <c r="D264" s="69" t="n">
        <v>6.0665</v>
      </c>
      <c r="E264" s="69" t="n">
        <v>6.0671</v>
      </c>
      <c r="F264" s="65" t="n"/>
      <c r="G264" s="71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5" t="n"/>
      <c r="X264" s="65" t="n"/>
      <c r="Y264" s="65" t="n"/>
      <c r="Z264" s="65" t="n"/>
    </row>
    <row r="265" ht="12.75" customHeight="1" s="85">
      <c r="A265" s="65" t="n"/>
      <c r="B265" s="68" t="n">
        <v>45672</v>
      </c>
      <c r="C265" s="69" t="inlineStr">
        <is>
          <t>USD</t>
        </is>
      </c>
      <c r="D265" s="69" t="n">
        <v>6.0371</v>
      </c>
      <c r="E265" s="69" t="n">
        <v>6.0377</v>
      </c>
      <c r="F265" s="65" t="n"/>
      <c r="G265" s="71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 t="n"/>
      <c r="S265" s="65" t="n"/>
      <c r="T265" s="65" t="n"/>
      <c r="U265" s="65" t="n"/>
      <c r="V265" s="65" t="n"/>
      <c r="W265" s="65" t="n"/>
      <c r="X265" s="65" t="n"/>
      <c r="Y265" s="65" t="n"/>
      <c r="Z265" s="65" t="n"/>
    </row>
    <row r="266" ht="12.75" customHeight="1" s="85">
      <c r="A266" s="65" t="n"/>
      <c r="B266" s="68" t="n">
        <v>45673</v>
      </c>
      <c r="C266" s="69" t="inlineStr">
        <is>
          <t>USD</t>
        </is>
      </c>
      <c r="D266" s="69" t="n">
        <v>6.0316</v>
      </c>
      <c r="E266" s="69" t="n">
        <v>6.0322</v>
      </c>
      <c r="F266" s="65" t="n"/>
      <c r="G266" s="71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5" t="n"/>
      <c r="X266" s="65" t="n"/>
      <c r="Y266" s="65" t="n"/>
      <c r="Z266" s="65" t="n"/>
    </row>
    <row r="267" ht="12.75" customHeight="1" s="85">
      <c r="A267" s="65" t="n"/>
      <c r="B267" s="68" t="n">
        <v>45674</v>
      </c>
      <c r="C267" s="69" t="inlineStr">
        <is>
          <t>USD</t>
        </is>
      </c>
      <c r="D267" s="69" t="n">
        <v>6.0603</v>
      </c>
      <c r="E267" s="69" t="n">
        <v>6.0609</v>
      </c>
      <c r="F267" s="65" t="n"/>
      <c r="G267" s="71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65" t="n"/>
      <c r="R267" s="65" t="n"/>
      <c r="S267" s="65" t="n"/>
      <c r="T267" s="65" t="n"/>
      <c r="U267" s="65" t="n"/>
      <c r="V267" s="65" t="n"/>
      <c r="W267" s="65" t="n"/>
      <c r="X267" s="65" t="n"/>
      <c r="Y267" s="65" t="n"/>
      <c r="Z267" s="65" t="n"/>
    </row>
    <row r="268" ht="12.75" customHeight="1" s="85">
      <c r="A268" s="65" t="n"/>
      <c r="B268" s="68" t="n">
        <v>45677</v>
      </c>
      <c r="C268" s="69" t="inlineStr">
        <is>
          <t>USD</t>
        </is>
      </c>
      <c r="D268" s="69" t="n">
        <v>6.0492</v>
      </c>
      <c r="E268" s="69" t="n">
        <v>6.0498</v>
      </c>
      <c r="F268" s="65" t="n"/>
      <c r="G268" s="71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5" t="n"/>
      <c r="X268" s="65" t="n"/>
      <c r="Y268" s="65" t="n"/>
      <c r="Z268" s="65" t="n"/>
    </row>
    <row r="269" ht="12.75" customHeight="1" s="85">
      <c r="A269" s="65" t="n"/>
      <c r="B269" s="68" t="n">
        <v>45678</v>
      </c>
      <c r="C269" s="69" t="inlineStr">
        <is>
          <t>USD</t>
        </is>
      </c>
      <c r="D269" s="69" t="n">
        <v>6.0434</v>
      </c>
      <c r="E269" s="69" t="n">
        <v>6.044</v>
      </c>
      <c r="F269" s="65" t="n"/>
      <c r="G269" s="71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65" t="n"/>
      <c r="R269" s="65" t="n"/>
      <c r="S269" s="65" t="n"/>
      <c r="T269" s="65" t="n"/>
      <c r="U269" s="65" t="n"/>
      <c r="V269" s="65" t="n"/>
      <c r="W269" s="65" t="n"/>
      <c r="X269" s="65" t="n"/>
      <c r="Y269" s="65" t="n"/>
      <c r="Z269" s="65" t="n"/>
    </row>
    <row r="270" ht="12.75" customHeight="1" s="85">
      <c r="A270" s="65" t="n"/>
      <c r="B270" s="68" t="n">
        <v>45679</v>
      </c>
      <c r="C270" s="69" t="inlineStr">
        <is>
          <t>USD</t>
        </is>
      </c>
      <c r="D270" s="69" t="n">
        <v>5.9668</v>
      </c>
      <c r="E270" s="69" t="n">
        <v>5.9674</v>
      </c>
      <c r="F270" s="65" t="n"/>
      <c r="G270" s="71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5" t="n"/>
      <c r="X270" s="65" t="n"/>
      <c r="Y270" s="65" t="n"/>
      <c r="Z270" s="65" t="n"/>
    </row>
    <row r="271" ht="12.75" customHeight="1" s="85">
      <c r="A271" s="65" t="n"/>
      <c r="B271" s="68" t="n">
        <v>45680</v>
      </c>
      <c r="C271" s="69" t="inlineStr">
        <is>
          <t>USD</t>
        </is>
      </c>
      <c r="D271" s="69" t="n">
        <v>5.9393</v>
      </c>
      <c r="E271" s="69" t="n">
        <v>5.9399</v>
      </c>
      <c r="F271" s="65" t="n"/>
      <c r="G271" s="71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65" t="n"/>
      <c r="R271" s="65" t="n"/>
      <c r="S271" s="65" t="n"/>
      <c r="T271" s="65" t="n"/>
      <c r="U271" s="65" t="n"/>
      <c r="V271" s="65" t="n"/>
      <c r="W271" s="65" t="n"/>
      <c r="X271" s="65" t="n"/>
      <c r="Y271" s="65" t="n"/>
      <c r="Z271" s="65" t="n"/>
    </row>
    <row r="272" ht="12.75" customHeight="1" s="85">
      <c r="A272" s="65" t="n"/>
      <c r="B272" s="68" t="n">
        <v>45681</v>
      </c>
      <c r="C272" s="69" t="inlineStr">
        <is>
          <t>USD</t>
        </is>
      </c>
      <c r="D272" s="69" t="n">
        <v>5.8919</v>
      </c>
      <c r="E272" s="69" t="n">
        <v>5.8925</v>
      </c>
      <c r="F272" s="65" t="n"/>
      <c r="G272" s="71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5" t="n"/>
      <c r="X272" s="65" t="n"/>
      <c r="Y272" s="65" t="n"/>
      <c r="Z272" s="65" t="n"/>
    </row>
    <row r="273" ht="12.75" customHeight="1" s="85">
      <c r="A273" s="65" t="n"/>
      <c r="B273" s="68" t="n">
        <v>45684</v>
      </c>
      <c r="C273" s="69" t="inlineStr">
        <is>
          <t>USD</t>
        </is>
      </c>
      <c r="D273" s="69" t="n">
        <v>5.9266</v>
      </c>
      <c r="E273" s="69" t="n">
        <v>5.9272</v>
      </c>
      <c r="F273" s="65" t="n"/>
      <c r="G273" s="71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65" t="n"/>
      <c r="T273" s="65" t="n"/>
      <c r="U273" s="65" t="n"/>
      <c r="V273" s="65" t="n"/>
      <c r="W273" s="65" t="n"/>
      <c r="X273" s="65" t="n"/>
      <c r="Y273" s="65" t="n"/>
      <c r="Z273" s="65" t="n"/>
    </row>
    <row r="274" ht="12.75" customHeight="1" s="85">
      <c r="A274" s="65" t="n"/>
      <c r="B274" s="68" t="n">
        <v>45685</v>
      </c>
      <c r="C274" s="69" t="inlineStr">
        <is>
          <t>USD</t>
        </is>
      </c>
      <c r="D274" s="69" t="n">
        <v>5.8924</v>
      </c>
      <c r="E274" s="69" t="n">
        <v>5.893</v>
      </c>
      <c r="F274" s="65" t="n"/>
      <c r="G274" s="71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5" t="n"/>
      <c r="X274" s="65" t="n"/>
      <c r="Y274" s="65" t="n"/>
      <c r="Z274" s="65" t="n"/>
    </row>
    <row r="275" ht="12.75" customHeight="1" s="85">
      <c r="A275" s="65" t="n"/>
      <c r="B275" s="68" t="n">
        <v>45686</v>
      </c>
      <c r="C275" s="69" t="inlineStr">
        <is>
          <t>USD</t>
        </is>
      </c>
      <c r="D275" s="69" t="n">
        <v>5.859</v>
      </c>
      <c r="E275" s="69" t="n">
        <v>5.8596</v>
      </c>
      <c r="F275" s="65" t="n"/>
      <c r="G275" s="71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 t="n"/>
      <c r="S275" s="65" t="n"/>
      <c r="T275" s="65" t="n"/>
      <c r="U275" s="65" t="n"/>
      <c r="V275" s="65" t="n"/>
      <c r="W275" s="65" t="n"/>
      <c r="X275" s="65" t="n"/>
      <c r="Y275" s="65" t="n"/>
      <c r="Z275" s="65" t="n"/>
    </row>
    <row r="276" ht="12.75" customHeight="1" s="85">
      <c r="A276" s="65" t="n"/>
      <c r="B276" s="68" t="n">
        <v>45687</v>
      </c>
      <c r="C276" s="69" t="inlineStr">
        <is>
          <t>USD</t>
        </is>
      </c>
      <c r="D276" s="69" t="n">
        <v>5.9</v>
      </c>
      <c r="E276" s="69" t="n">
        <v>5.9006</v>
      </c>
      <c r="F276" s="65" t="n"/>
      <c r="G276" s="71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5" t="n"/>
      <c r="X276" s="65" t="n"/>
      <c r="Y276" s="65" t="n"/>
      <c r="Z276" s="65" t="n"/>
    </row>
    <row r="277" ht="12.75" customHeight="1" s="85">
      <c r="A277" s="65" t="n"/>
      <c r="B277" s="68" t="n">
        <v>45688</v>
      </c>
      <c r="C277" s="69" t="inlineStr">
        <is>
          <t>USD</t>
        </is>
      </c>
      <c r="D277" s="69" t="n">
        <v>5.8295</v>
      </c>
      <c r="E277" s="69" t="n">
        <v>5.8301</v>
      </c>
      <c r="F277" s="65" t="n"/>
      <c r="G277" s="71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 t="n"/>
      <c r="S277" s="65" t="n"/>
      <c r="T277" s="65" t="n"/>
      <c r="U277" s="65" t="n"/>
      <c r="V277" s="65" t="n"/>
      <c r="W277" s="65" t="n"/>
      <c r="X277" s="65" t="n"/>
      <c r="Y277" s="65" t="n"/>
      <c r="Z277" s="65" t="n"/>
    </row>
    <row r="278" ht="12.75" customHeight="1" s="85">
      <c r="A278" s="65" t="n"/>
      <c r="B278" s="68" t="n">
        <v>45691</v>
      </c>
      <c r="C278" s="69" t="inlineStr">
        <is>
          <t>USD</t>
        </is>
      </c>
      <c r="D278" s="69" t="n">
        <v>5.8681</v>
      </c>
      <c r="E278" s="69" t="n">
        <v>5.8687</v>
      </c>
      <c r="F278" s="65" t="n"/>
      <c r="G278" s="71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5" t="n"/>
      <c r="X278" s="65" t="n"/>
      <c r="Y278" s="65" t="n"/>
      <c r="Z278" s="65" t="n"/>
    </row>
    <row r="279" ht="12.75" customHeight="1" s="85">
      <c r="A279" s="65" t="n"/>
      <c r="B279" s="68" t="n">
        <v>45692</v>
      </c>
      <c r="C279" s="69" t="inlineStr">
        <is>
          <t>USD</t>
        </is>
      </c>
      <c r="D279" s="69" t="n">
        <v>5.7921</v>
      </c>
      <c r="E279" s="69" t="n">
        <v>5.7927</v>
      </c>
      <c r="F279" s="65" t="n"/>
      <c r="G279" s="71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 t="n"/>
      <c r="S279" s="65" t="n"/>
      <c r="T279" s="65" t="n"/>
      <c r="U279" s="65" t="n"/>
      <c r="V279" s="65" t="n"/>
      <c r="W279" s="65" t="n"/>
      <c r="X279" s="65" t="n"/>
      <c r="Y279" s="65" t="n"/>
      <c r="Z279" s="65" t="n"/>
    </row>
    <row r="280" ht="12.75" customHeight="1" s="85">
      <c r="A280" s="65" t="n"/>
      <c r="B280" s="68" t="n">
        <v>45693</v>
      </c>
      <c r="C280" s="69" t="inlineStr">
        <is>
          <t>USD</t>
        </is>
      </c>
      <c r="D280" s="69" t="n">
        <v>5.7991</v>
      </c>
      <c r="E280" s="69" t="n">
        <v>5.7997</v>
      </c>
      <c r="F280" s="65" t="n"/>
      <c r="G280" s="71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5" t="n"/>
      <c r="X280" s="65" t="n"/>
      <c r="Y280" s="65" t="n"/>
      <c r="Z280" s="65" t="n"/>
    </row>
    <row r="281" ht="12.75" customHeight="1" s="85">
      <c r="A281" s="65" t="n"/>
      <c r="B281" s="68" t="n">
        <v>45694</v>
      </c>
      <c r="C281" s="69" t="inlineStr">
        <is>
          <t>USD</t>
        </is>
      </c>
      <c r="D281" s="69" t="n">
        <v>5.785</v>
      </c>
      <c r="E281" s="69" t="n">
        <v>5.7856</v>
      </c>
      <c r="F281" s="65" t="n"/>
      <c r="G281" s="71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 t="n"/>
      <c r="S281" s="65" t="n"/>
      <c r="T281" s="65" t="n"/>
      <c r="U281" s="65" t="n"/>
      <c r="V281" s="65" t="n"/>
      <c r="W281" s="65" t="n"/>
      <c r="X281" s="65" t="n"/>
      <c r="Y281" s="65" t="n"/>
      <c r="Z281" s="65" t="n"/>
    </row>
    <row r="282" ht="12.75" customHeight="1" s="85">
      <c r="A282" s="65" t="n"/>
      <c r="B282" s="68" t="n">
        <v>45695</v>
      </c>
      <c r="C282" s="69" t="inlineStr">
        <is>
          <t>USD</t>
        </is>
      </c>
      <c r="D282" s="69" t="n">
        <v>5.7551</v>
      </c>
      <c r="E282" s="69" t="n">
        <v>5.7557</v>
      </c>
      <c r="F282" s="65" t="n"/>
      <c r="G282" s="71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5" t="n"/>
      <c r="X282" s="65" t="n"/>
      <c r="Y282" s="65" t="n"/>
      <c r="Z282" s="65" t="n"/>
    </row>
    <row r="283" ht="12.75" customHeight="1" s="85">
      <c r="A283" s="65" t="n"/>
      <c r="B283" s="68" t="n">
        <v>45698</v>
      </c>
      <c r="C283" s="69" t="inlineStr">
        <is>
          <t>USD</t>
        </is>
      </c>
      <c r="D283" s="69" t="n">
        <v>5.7802</v>
      </c>
      <c r="E283" s="69" t="n">
        <v>5.7808</v>
      </c>
      <c r="F283" s="65" t="n"/>
      <c r="G283" s="71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 t="n"/>
      <c r="S283" s="65" t="n"/>
      <c r="T283" s="65" t="n"/>
      <c r="U283" s="65" t="n"/>
      <c r="V283" s="65" t="n"/>
      <c r="W283" s="65" t="n"/>
      <c r="X283" s="65" t="n"/>
      <c r="Y283" s="65" t="n"/>
      <c r="Z283" s="65" t="n"/>
    </row>
    <row r="284" ht="12.75" customHeight="1" s="85">
      <c r="A284" s="65" t="n"/>
      <c r="B284" s="68" t="n">
        <v>45699</v>
      </c>
      <c r="C284" s="69" t="inlineStr">
        <is>
          <t>USD</t>
        </is>
      </c>
      <c r="D284" s="69" t="n">
        <v>5.7782</v>
      </c>
      <c r="E284" s="69" t="n">
        <v>5.7788</v>
      </c>
      <c r="F284" s="65" t="n"/>
      <c r="G284" s="71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5" t="n"/>
      <c r="X284" s="65" t="n"/>
      <c r="Y284" s="65" t="n"/>
      <c r="Z284" s="65" t="n"/>
    </row>
    <row r="285" ht="12.75" customHeight="1" s="85">
      <c r="A285" s="65" t="n"/>
      <c r="B285" s="68" t="n">
        <v>45700</v>
      </c>
      <c r="C285" s="69" t="inlineStr">
        <is>
          <t>USD</t>
        </is>
      </c>
      <c r="D285" s="69" t="n">
        <v>5.7705</v>
      </c>
      <c r="E285" s="69" t="n">
        <v>5.7711</v>
      </c>
      <c r="F285" s="65" t="n"/>
      <c r="G285" s="71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65" t="n"/>
      <c r="R285" s="65" t="n"/>
      <c r="S285" s="65" t="n"/>
      <c r="T285" s="65" t="n"/>
      <c r="U285" s="65" t="n"/>
      <c r="V285" s="65" t="n"/>
      <c r="W285" s="65" t="n"/>
      <c r="X285" s="65" t="n"/>
      <c r="Y285" s="65" t="n"/>
      <c r="Z285" s="65" t="n"/>
    </row>
    <row r="286" ht="12.75" customHeight="1" s="85">
      <c r="A286" s="65" t="n"/>
      <c r="B286" s="68" t="n">
        <v>45701</v>
      </c>
      <c r="C286" s="69" t="inlineStr">
        <is>
          <t>USD</t>
        </is>
      </c>
      <c r="D286" s="69" t="n">
        <v>5.7782</v>
      </c>
      <c r="E286" s="69" t="n">
        <v>5.7788</v>
      </c>
      <c r="F286" s="65" t="n"/>
      <c r="G286" s="71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5" t="n"/>
      <c r="X286" s="65" t="n"/>
      <c r="Y286" s="65" t="n"/>
      <c r="Z286" s="65" t="n"/>
    </row>
    <row r="287" ht="12.75" customHeight="1" s="85">
      <c r="A287" s="65" t="n"/>
      <c r="B287" s="68" t="n">
        <v>45702</v>
      </c>
      <c r="C287" s="69" t="inlineStr">
        <is>
          <t>USD</t>
        </is>
      </c>
      <c r="D287" s="69" t="n">
        <v>5.7277</v>
      </c>
      <c r="E287" s="69" t="n">
        <v>5.7283</v>
      </c>
      <c r="F287" s="65" t="n"/>
      <c r="G287" s="71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65" t="n"/>
      <c r="R287" s="65" t="n"/>
      <c r="S287" s="65" t="n"/>
      <c r="T287" s="65" t="n"/>
      <c r="U287" s="65" t="n"/>
      <c r="V287" s="65" t="n"/>
      <c r="W287" s="65" t="n"/>
      <c r="X287" s="65" t="n"/>
      <c r="Y287" s="65" t="n"/>
      <c r="Z287" s="65" t="n"/>
    </row>
    <row r="288" ht="12.75" customHeight="1" s="85">
      <c r="A288" s="65" t="n"/>
      <c r="B288" s="68" t="n">
        <v>45705</v>
      </c>
      <c r="C288" s="69" t="inlineStr">
        <is>
          <t>USD</t>
        </is>
      </c>
      <c r="D288" s="69" t="n">
        <v>5.7099</v>
      </c>
      <c r="E288" s="69" t="n">
        <v>5.7105</v>
      </c>
      <c r="F288" s="65" t="n"/>
      <c r="G288" s="71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5" t="n"/>
      <c r="X288" s="65" t="n"/>
      <c r="Y288" s="65" t="n"/>
      <c r="Z288" s="65" t="n"/>
    </row>
    <row r="289" ht="12.75" customHeight="1" s="85">
      <c r="A289" s="65" t="n"/>
      <c r="B289" s="68" t="n">
        <v>45706</v>
      </c>
      <c r="C289" s="69" t="inlineStr">
        <is>
          <t>USD</t>
        </is>
      </c>
      <c r="D289" s="69" t="n">
        <v>5.6973</v>
      </c>
      <c r="E289" s="69" t="n">
        <v>5.6979</v>
      </c>
      <c r="F289" s="65" t="n"/>
      <c r="G289" s="71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65" t="n"/>
      <c r="R289" s="65" t="n"/>
      <c r="S289" s="65" t="n"/>
      <c r="T289" s="65" t="n"/>
      <c r="U289" s="65" t="n"/>
      <c r="V289" s="65" t="n"/>
      <c r="W289" s="65" t="n"/>
      <c r="X289" s="65" t="n"/>
      <c r="Y289" s="65" t="n"/>
      <c r="Z289" s="65" t="n"/>
    </row>
    <row r="290" ht="12.75" customHeight="1" s="85">
      <c r="A290" s="65" t="n"/>
      <c r="B290" s="68" t="n">
        <v>45707</v>
      </c>
      <c r="C290" s="69" t="inlineStr">
        <is>
          <t>USD</t>
        </is>
      </c>
      <c r="D290" s="69" t="n">
        <v>5.7081</v>
      </c>
      <c r="E290" s="69" t="n">
        <v>5.7087</v>
      </c>
      <c r="F290" s="65" t="n"/>
      <c r="G290" s="71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5" t="n"/>
      <c r="X290" s="65" t="n"/>
      <c r="Y290" s="65" t="n"/>
      <c r="Z290" s="65" t="n"/>
    </row>
    <row r="291" ht="12.75" customHeight="1" s="85">
      <c r="A291" s="65" t="n"/>
      <c r="B291" s="68" t="n">
        <v>45708</v>
      </c>
      <c r="C291" s="69" t="inlineStr">
        <is>
          <t>USD</t>
        </is>
      </c>
      <c r="D291" s="69" t="n">
        <v>5.7013</v>
      </c>
      <c r="E291" s="69" t="n">
        <v>5.7019</v>
      </c>
      <c r="F291" s="65" t="n"/>
      <c r="G291" s="71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65" t="n"/>
      <c r="R291" s="65" t="n"/>
      <c r="S291" s="65" t="n"/>
      <c r="T291" s="65" t="n"/>
      <c r="U291" s="65" t="n"/>
      <c r="V291" s="65" t="n"/>
      <c r="W291" s="65" t="n"/>
      <c r="X291" s="65" t="n"/>
      <c r="Y291" s="65" t="n"/>
      <c r="Z291" s="65" t="n"/>
    </row>
    <row r="292" ht="12.75" customHeight="1" s="85">
      <c r="A292" s="65" t="n"/>
      <c r="B292" s="68" t="n">
        <v>45709</v>
      </c>
      <c r="C292" s="69" t="inlineStr">
        <is>
          <t>USD</t>
        </is>
      </c>
      <c r="D292" s="69" t="n">
        <v>5.7021</v>
      </c>
      <c r="E292" s="69" t="n">
        <v>5.7027</v>
      </c>
      <c r="F292" s="65" t="n"/>
      <c r="G292" s="71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5" t="n"/>
      <c r="X292" s="65" t="n"/>
      <c r="Y292" s="65" t="n"/>
      <c r="Z292" s="65" t="n"/>
    </row>
    <row r="293" ht="12.75" customHeight="1" s="85">
      <c r="A293" s="65" t="n"/>
      <c r="B293" s="68" t="n">
        <v>45712</v>
      </c>
      <c r="C293" s="69" t="inlineStr">
        <is>
          <t>USD</t>
        </is>
      </c>
      <c r="D293" s="69" t="n">
        <v>5.7252</v>
      </c>
      <c r="E293" s="69" t="n">
        <v>5.7258</v>
      </c>
      <c r="F293" s="65" t="n"/>
      <c r="G293" s="71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 t="n"/>
      <c r="S293" s="65" t="n"/>
      <c r="T293" s="65" t="n"/>
      <c r="U293" s="65" t="n"/>
      <c r="V293" s="65" t="n"/>
      <c r="W293" s="65" t="n"/>
      <c r="X293" s="65" t="n"/>
      <c r="Y293" s="65" t="n"/>
      <c r="Z293" s="65" t="n"/>
    </row>
    <row r="294" ht="12.75" customHeight="1" s="85">
      <c r="A294" s="65" t="n"/>
      <c r="B294" s="68" t="n">
        <v>45713</v>
      </c>
      <c r="C294" s="69" t="inlineStr">
        <is>
          <t>USD</t>
        </is>
      </c>
      <c r="D294" s="69" t="n">
        <v>5.7773</v>
      </c>
      <c r="E294" s="69" t="n">
        <v>5.7779</v>
      </c>
      <c r="F294" s="65" t="n"/>
      <c r="G294" s="71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5" t="n"/>
      <c r="X294" s="65" t="n"/>
      <c r="Y294" s="65" t="n"/>
      <c r="Z294" s="65" t="n"/>
    </row>
    <row r="295" ht="12.75" customHeight="1" s="85">
      <c r="A295" s="65" t="n"/>
      <c r="B295" s="68" t="n">
        <v>45714</v>
      </c>
      <c r="C295" s="69" t="inlineStr">
        <is>
          <t>USD</t>
        </is>
      </c>
      <c r="D295" s="69" t="n">
        <v>5.7751</v>
      </c>
      <c r="E295" s="69" t="n">
        <v>5.7757</v>
      </c>
      <c r="F295" s="65" t="n"/>
      <c r="G295" s="71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 t="n"/>
      <c r="S295" s="65" t="n"/>
      <c r="T295" s="65" t="n"/>
      <c r="U295" s="65" t="n"/>
      <c r="V295" s="65" t="n"/>
      <c r="W295" s="65" t="n"/>
      <c r="X295" s="65" t="n"/>
      <c r="Y295" s="65" t="n"/>
      <c r="Z295" s="65" t="n"/>
    </row>
    <row r="296" ht="12.75" customHeight="1" s="85">
      <c r="A296" s="65" t="n"/>
      <c r="B296" s="68" t="n">
        <v>45715</v>
      </c>
      <c r="C296" s="69" t="inlineStr">
        <is>
          <t>USD</t>
        </is>
      </c>
      <c r="D296" s="69" t="n">
        <v>5.8222</v>
      </c>
      <c r="E296" s="69" t="n">
        <v>5.8228</v>
      </c>
      <c r="F296" s="65" t="n"/>
      <c r="G296" s="71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5" t="n"/>
      <c r="X296" s="65" t="n"/>
      <c r="Y296" s="65" t="n"/>
      <c r="Z296" s="65" t="n"/>
    </row>
    <row r="297" ht="12.75" customHeight="1" s="85">
      <c r="A297" s="65" t="n"/>
      <c r="B297" s="68" t="n">
        <v>45716</v>
      </c>
      <c r="C297" s="69" t="inlineStr">
        <is>
          <t>USD</t>
        </is>
      </c>
      <c r="D297" s="69" t="n">
        <v>5.8482</v>
      </c>
      <c r="E297" s="69" t="n">
        <v>5.8488</v>
      </c>
      <c r="F297" s="65" t="n"/>
      <c r="G297" s="71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 t="n"/>
      <c r="S297" s="65" t="n"/>
      <c r="T297" s="65" t="n"/>
      <c r="U297" s="65" t="n"/>
      <c r="V297" s="65" t="n"/>
      <c r="W297" s="65" t="n"/>
      <c r="X297" s="65" t="n"/>
      <c r="Y297" s="65" t="n"/>
      <c r="Z297" s="65" t="n"/>
    </row>
    <row r="298" ht="12.75" customHeight="1" s="85">
      <c r="A298" s="65" t="n"/>
      <c r="B298" s="68" t="n">
        <v>45721</v>
      </c>
      <c r="C298" s="69" t="inlineStr">
        <is>
          <t>USD</t>
        </is>
      </c>
      <c r="D298" s="69" t="n">
        <v>5.7908</v>
      </c>
      <c r="E298" s="69" t="n">
        <v>5.7914</v>
      </c>
      <c r="F298" s="65" t="n"/>
      <c r="G298" s="71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5" t="n"/>
      <c r="X298" s="65" t="n"/>
      <c r="Y298" s="65" t="n"/>
      <c r="Z298" s="65" t="n"/>
    </row>
    <row r="299" ht="12.75" customHeight="1" s="85">
      <c r="A299" s="65" t="n"/>
      <c r="B299" s="68" t="n">
        <v>45722</v>
      </c>
      <c r="C299" s="69" t="inlineStr">
        <is>
          <t>USD</t>
        </is>
      </c>
      <c r="D299" s="69" t="n">
        <v>5.7483</v>
      </c>
      <c r="E299" s="69" t="n">
        <v>5.7489</v>
      </c>
      <c r="F299" s="65" t="n"/>
      <c r="G299" s="71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 t="n"/>
      <c r="S299" s="65" t="n"/>
      <c r="T299" s="65" t="n"/>
      <c r="U299" s="65" t="n"/>
      <c r="V299" s="65" t="n"/>
      <c r="W299" s="65" t="n"/>
      <c r="X299" s="65" t="n"/>
      <c r="Y299" s="65" t="n"/>
      <c r="Z299" s="65" t="n"/>
    </row>
    <row r="300" ht="12.75" customHeight="1" s="85">
      <c r="A300" s="65" t="n"/>
      <c r="B300" s="68" t="n">
        <v>45723</v>
      </c>
      <c r="C300" s="69" t="inlineStr">
        <is>
          <t>USD</t>
        </is>
      </c>
      <c r="D300" s="69" t="n">
        <v>5.7682</v>
      </c>
      <c r="E300" s="69" t="n">
        <v>5.7688</v>
      </c>
      <c r="F300" s="65" t="n"/>
      <c r="G300" s="71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5" t="n"/>
      <c r="X300" s="65" t="n"/>
      <c r="Y300" s="65" t="n"/>
      <c r="Z300" s="65" t="n"/>
    </row>
    <row r="301" ht="12.75" customHeight="1" s="85">
      <c r="A301" s="65" t="n"/>
      <c r="B301" s="68" t="n">
        <v>45726</v>
      </c>
      <c r="C301" s="69" t="inlineStr">
        <is>
          <t>USD</t>
        </is>
      </c>
      <c r="D301" s="69" t="n">
        <v>5.7924</v>
      </c>
      <c r="E301" s="69" t="n">
        <v>5.793</v>
      </c>
      <c r="F301" s="65" t="n"/>
      <c r="G301" s="71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 t="n"/>
      <c r="S301" s="65" t="n"/>
      <c r="T301" s="65" t="n"/>
      <c r="U301" s="65" t="n"/>
      <c r="V301" s="65" t="n"/>
      <c r="W301" s="65" t="n"/>
      <c r="X301" s="65" t="n"/>
      <c r="Y301" s="65" t="n"/>
      <c r="Z301" s="65" t="n"/>
    </row>
    <row r="302" ht="12.75" customHeight="1" s="85">
      <c r="A302" s="65" t="n"/>
      <c r="B302" s="68" t="n">
        <v>45727</v>
      </c>
      <c r="C302" s="69" t="inlineStr">
        <is>
          <t>USD</t>
        </is>
      </c>
      <c r="D302" s="69" t="n">
        <v>5.8341</v>
      </c>
      <c r="E302" s="69" t="n">
        <v>5.8346</v>
      </c>
      <c r="F302" s="65" t="n"/>
      <c r="G302" s="71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5" t="n"/>
      <c r="X302" s="65" t="n"/>
      <c r="Y302" s="65" t="n"/>
      <c r="Z302" s="65" t="n"/>
    </row>
    <row r="303" ht="12.75" customHeight="1" s="85">
      <c r="A303" s="65" t="n"/>
      <c r="B303" s="68" t="n">
        <v>45728</v>
      </c>
      <c r="C303" s="69" t="inlineStr">
        <is>
          <t>USD</t>
        </is>
      </c>
      <c r="D303" s="69" t="n">
        <v>5.8262</v>
      </c>
      <c r="E303" s="69" t="n">
        <v>5.8268</v>
      </c>
      <c r="F303" s="65" t="n"/>
      <c r="G303" s="71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  <c r="Z303" s="65" t="n"/>
    </row>
    <row r="304" ht="12.75" customHeight="1" s="85">
      <c r="A304" s="65" t="n"/>
      <c r="B304" s="68" t="n">
        <v>45729</v>
      </c>
      <c r="C304" s="69" t="inlineStr">
        <is>
          <t>USD</t>
        </is>
      </c>
      <c r="D304" s="69" t="n">
        <v>5.8125</v>
      </c>
      <c r="E304" s="69" t="n">
        <v>5.8131</v>
      </c>
      <c r="F304" s="65" t="n"/>
      <c r="G304" s="71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5" t="n"/>
      <c r="X304" s="65" t="n"/>
      <c r="Y304" s="65" t="n"/>
      <c r="Z304" s="65" t="n"/>
    </row>
    <row r="305" ht="12.75" customHeight="1" s="85">
      <c r="A305" s="65" t="n"/>
      <c r="B305" s="68" t="n">
        <v>45730</v>
      </c>
      <c r="C305" s="69" t="inlineStr">
        <is>
          <t>USD</t>
        </is>
      </c>
      <c r="D305" s="69" t="n">
        <v>5.7413</v>
      </c>
      <c r="E305" s="69" t="n">
        <v>5.7419</v>
      </c>
      <c r="F305" s="65" t="n"/>
      <c r="G305" s="71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65" t="n"/>
      <c r="R305" s="65" t="n"/>
      <c r="S305" s="65" t="n"/>
      <c r="T305" s="65" t="n"/>
      <c r="U305" s="65" t="n"/>
      <c r="V305" s="65" t="n"/>
      <c r="W305" s="65" t="n"/>
      <c r="X305" s="65" t="n"/>
      <c r="Y305" s="65" t="n"/>
      <c r="Z305" s="65" t="n"/>
    </row>
    <row r="306" ht="12.75" customHeight="1" s="85">
      <c r="A306" s="65" t="n"/>
      <c r="B306" s="68" t="n">
        <v>45733</v>
      </c>
      <c r="C306" s="69" t="inlineStr">
        <is>
          <t>USD</t>
        </is>
      </c>
      <c r="D306" s="69" t="n">
        <v>5.7076</v>
      </c>
      <c r="E306" s="69" t="n">
        <v>5.7082</v>
      </c>
      <c r="F306" s="65" t="n"/>
      <c r="G306" s="71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5" t="n"/>
      <c r="X306" s="65" t="n"/>
      <c r="Y306" s="65" t="n"/>
      <c r="Z306" s="65" t="n"/>
    </row>
    <row r="307" ht="12.75" customHeight="1" s="85">
      <c r="A307" s="65" t="n"/>
      <c r="B307" s="68" t="n">
        <v>45734</v>
      </c>
      <c r="C307" s="69" t="inlineStr">
        <is>
          <t>USD</t>
        </is>
      </c>
      <c r="D307" s="69" t="n">
        <v>5.6846</v>
      </c>
      <c r="E307" s="69" t="n">
        <v>5.6852</v>
      </c>
      <c r="F307" s="65" t="n"/>
      <c r="G307" s="71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65" t="n"/>
      <c r="R307" s="65" t="n"/>
      <c r="S307" s="65" t="n"/>
      <c r="T307" s="65" t="n"/>
      <c r="U307" s="65" t="n"/>
      <c r="V307" s="65" t="n"/>
      <c r="W307" s="65" t="n"/>
      <c r="X307" s="65" t="n"/>
      <c r="Y307" s="65" t="n"/>
      <c r="Z307" s="65" t="n"/>
    </row>
    <row r="308" ht="12.75" customHeight="1" s="85">
      <c r="A308" s="65" t="n"/>
      <c r="B308" s="68" t="n">
        <v>45735</v>
      </c>
      <c r="C308" s="69" t="inlineStr">
        <is>
          <t>USD</t>
        </is>
      </c>
      <c r="D308" s="69" t="n">
        <v>5.6651</v>
      </c>
      <c r="E308" s="69" t="n">
        <v>5.6657</v>
      </c>
      <c r="F308" s="65" t="n"/>
      <c r="G308" s="71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5" t="n"/>
      <c r="X308" s="65" t="n"/>
      <c r="Y308" s="65" t="n"/>
      <c r="Z308" s="65" t="n"/>
    </row>
    <row r="309" ht="12.75" customHeight="1" s="85">
      <c r="A309" s="65" t="n"/>
      <c r="B309" s="68" t="n">
        <v>45736</v>
      </c>
      <c r="C309" s="69" t="inlineStr">
        <is>
          <t>USD</t>
        </is>
      </c>
      <c r="D309" s="69" t="n">
        <v>5.6622</v>
      </c>
      <c r="E309" s="69" t="n">
        <v>5.6628</v>
      </c>
      <c r="F309" s="65" t="n"/>
      <c r="G309" s="71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65" t="n"/>
      <c r="R309" s="65" t="n"/>
      <c r="S309" s="65" t="n"/>
      <c r="T309" s="65" t="n"/>
      <c r="U309" s="65" t="n"/>
      <c r="V309" s="65" t="n"/>
      <c r="W309" s="65" t="n"/>
      <c r="X309" s="65" t="n"/>
      <c r="Y309" s="65" t="n"/>
      <c r="Z309" s="65" t="n"/>
    </row>
    <row r="310" ht="12.75" customHeight="1" s="85">
      <c r="A310" s="65" t="n"/>
      <c r="B310" s="68" t="n">
        <v>45737</v>
      </c>
      <c r="C310" s="69" t="inlineStr">
        <is>
          <t>USD</t>
        </is>
      </c>
      <c r="D310" s="69" t="n">
        <v>5.7235</v>
      </c>
      <c r="E310" s="69" t="n">
        <v>5.7241</v>
      </c>
      <c r="F310" s="65" t="n"/>
      <c r="G310" s="71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5" t="n"/>
      <c r="X310" s="65" t="n"/>
      <c r="Y310" s="65" t="n"/>
      <c r="Z310" s="65" t="n"/>
    </row>
    <row r="311" ht="12.75" customHeight="1" s="85">
      <c r="A311" s="65" t="n"/>
      <c r="B311" s="68" t="n">
        <v>45740</v>
      </c>
      <c r="C311" s="69" t="inlineStr">
        <is>
          <t>USD</t>
        </is>
      </c>
      <c r="D311" s="69" t="n">
        <v>5.7397</v>
      </c>
      <c r="E311" s="69" t="n">
        <v>5.7403</v>
      </c>
      <c r="F311" s="65" t="n"/>
      <c r="G311" s="71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 t="n"/>
      <c r="S311" s="65" t="n"/>
      <c r="T311" s="65" t="n"/>
      <c r="U311" s="65" t="n"/>
      <c r="V311" s="65" t="n"/>
      <c r="W311" s="65" t="n"/>
      <c r="X311" s="65" t="n"/>
      <c r="Y311" s="65" t="n"/>
      <c r="Z311" s="65" t="n"/>
    </row>
    <row r="312" ht="12.75" customHeight="1" s="85">
      <c r="A312" s="65" t="n"/>
      <c r="B312" s="68" t="n">
        <v>45741</v>
      </c>
      <c r="C312" s="69" t="inlineStr">
        <is>
          <t>USD</t>
        </is>
      </c>
      <c r="D312" s="69" t="n">
        <v>5.6986</v>
      </c>
      <c r="E312" s="69" t="n">
        <v>5.6992</v>
      </c>
      <c r="F312" s="65" t="n"/>
      <c r="G312" s="71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5" t="n"/>
      <c r="X312" s="65" t="n"/>
      <c r="Y312" s="65" t="n"/>
      <c r="Z312" s="65" t="n"/>
    </row>
    <row r="313" ht="12.75" customHeight="1" s="85">
      <c r="A313" s="65" t="n"/>
      <c r="B313" s="68" t="n">
        <v>45742</v>
      </c>
      <c r="C313" s="69" t="inlineStr">
        <is>
          <t>USD</t>
        </is>
      </c>
      <c r="D313" s="69" t="n">
        <v>5.7292</v>
      </c>
      <c r="E313" s="69" t="n">
        <v>5.7298</v>
      </c>
      <c r="F313" s="65" t="n"/>
      <c r="G313" s="71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 t="n"/>
      <c r="S313" s="65" t="n"/>
      <c r="T313" s="65" t="n"/>
      <c r="U313" s="65" t="n"/>
      <c r="V313" s="65" t="n"/>
      <c r="W313" s="65" t="n"/>
      <c r="X313" s="65" t="n"/>
      <c r="Y313" s="65" t="n"/>
      <c r="Z313" s="65" t="n"/>
    </row>
    <row r="314" ht="12.75" customHeight="1" s="85">
      <c r="A314" s="65" t="n"/>
      <c r="B314" s="68" t="n">
        <v>45743</v>
      </c>
      <c r="C314" s="69" t="inlineStr">
        <is>
          <t>USD</t>
        </is>
      </c>
      <c r="D314" s="69" t="n">
        <v>5.7468</v>
      </c>
      <c r="E314" s="69" t="n">
        <v>5.7474</v>
      </c>
      <c r="F314" s="65" t="n"/>
      <c r="G314" s="71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5" t="n"/>
      <c r="X314" s="65" t="n"/>
      <c r="Y314" s="65" t="n"/>
      <c r="Z314" s="65" t="n"/>
    </row>
    <row r="315" ht="12.75" customHeight="1" s="85">
      <c r="A315" s="65" t="n"/>
      <c r="B315" s="68" t="n">
        <v>45744</v>
      </c>
      <c r="C315" s="69" t="inlineStr">
        <is>
          <t>USD</t>
        </is>
      </c>
      <c r="D315" s="69" t="n">
        <v>5.7654</v>
      </c>
      <c r="E315" s="69" t="n">
        <v>5.766</v>
      </c>
      <c r="F315" s="65" t="n"/>
      <c r="G315" s="71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 t="n"/>
      <c r="S315" s="65" t="n"/>
      <c r="T315" s="65" t="n"/>
      <c r="U315" s="65" t="n"/>
      <c r="V315" s="65" t="n"/>
      <c r="W315" s="65" t="n"/>
      <c r="X315" s="65" t="n"/>
      <c r="Y315" s="65" t="n"/>
      <c r="Z315" s="65" t="n"/>
    </row>
    <row r="316" ht="12.75" customHeight="1" s="85">
      <c r="A316" s="65" t="n"/>
      <c r="B316" s="68" t="n">
        <v>45747</v>
      </c>
      <c r="C316" s="69" t="inlineStr">
        <is>
          <t>USD</t>
        </is>
      </c>
      <c r="D316" s="69" t="n">
        <v>5.7416</v>
      </c>
      <c r="E316" s="69" t="n">
        <v>5.7422</v>
      </c>
      <c r="F316" s="65" t="n"/>
      <c r="G316" s="71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5" t="n"/>
      <c r="X316" s="65" t="n"/>
      <c r="Y316" s="65" t="n"/>
      <c r="Z316" s="65" t="n"/>
    </row>
    <row r="317" ht="12.75" customHeight="1" s="85">
      <c r="A317" s="65" t="n"/>
      <c r="B317" s="68" t="n">
        <v>45748</v>
      </c>
      <c r="C317" s="69" t="inlineStr">
        <is>
          <t>USD</t>
        </is>
      </c>
      <c r="D317" s="69" t="n">
        <v>5.7045</v>
      </c>
      <c r="E317" s="69" t="n">
        <v>5.7051</v>
      </c>
      <c r="F317" s="65" t="n"/>
      <c r="G317" s="71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65" t="n"/>
      <c r="T317" s="65" t="n"/>
      <c r="U317" s="65" t="n"/>
      <c r="V317" s="65" t="n"/>
      <c r="W317" s="65" t="n"/>
      <c r="X317" s="65" t="n"/>
      <c r="Y317" s="65" t="n"/>
      <c r="Z317" s="65" t="n"/>
    </row>
    <row r="318" ht="12.75" customHeight="1" s="85">
      <c r="A318" s="65" t="n"/>
      <c r="B318" s="68" t="n">
        <v>45749</v>
      </c>
      <c r="C318" s="69" t="inlineStr">
        <is>
          <t>USD</t>
        </is>
      </c>
      <c r="D318" s="69" t="n">
        <v>5.6918</v>
      </c>
      <c r="E318" s="69" t="n">
        <v>5.6923</v>
      </c>
      <c r="F318" s="65" t="n"/>
      <c r="G318" s="71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5" t="n"/>
      <c r="X318" s="65" t="n"/>
      <c r="Y318" s="65" t="n"/>
      <c r="Z318" s="65" t="n"/>
    </row>
    <row r="319" ht="12.75" customHeight="1" s="85">
      <c r="A319" s="65" t="n"/>
      <c r="B319" s="68" t="n">
        <v>45750</v>
      </c>
      <c r="C319" s="69" t="inlineStr">
        <is>
          <t>USD</t>
        </is>
      </c>
      <c r="D319" s="69" t="n">
        <v>5.6062</v>
      </c>
      <c r="E319" s="69" t="n">
        <v>5.6067</v>
      </c>
      <c r="F319" s="65" t="n"/>
      <c r="G319" s="71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 t="n"/>
      <c r="S319" s="65" t="n"/>
      <c r="T319" s="65" t="n"/>
      <c r="U319" s="65" t="n"/>
      <c r="V319" s="65" t="n"/>
      <c r="W319" s="65" t="n"/>
      <c r="X319" s="65" t="n"/>
      <c r="Y319" s="65" t="n"/>
      <c r="Z319" s="65" t="n"/>
    </row>
    <row r="320" ht="12.75" customHeight="1" s="85">
      <c r="A320" s="65" t="n"/>
      <c r="B320" s="68" t="n">
        <v>45751</v>
      </c>
      <c r="C320" s="69" t="inlineStr">
        <is>
          <t>USD</t>
        </is>
      </c>
      <c r="D320" s="69" t="n">
        <v>5.7771</v>
      </c>
      <c r="E320" s="69" t="n">
        <v>5.7777</v>
      </c>
      <c r="F320" s="65" t="n"/>
      <c r="G320" s="71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5" t="n"/>
      <c r="X320" s="65" t="n"/>
      <c r="Y320" s="65" t="n"/>
      <c r="Z320" s="65" t="n"/>
    </row>
    <row r="321" ht="12.75" customHeight="1" s="85">
      <c r="A321" s="65" t="n"/>
      <c r="B321" s="68" t="n">
        <v>45754</v>
      </c>
      <c r="C321" s="69" t="inlineStr">
        <is>
          <t>USD</t>
        </is>
      </c>
      <c r="D321" s="69" t="n">
        <v>5.8871</v>
      </c>
      <c r="E321" s="69" t="n">
        <v>5.8877</v>
      </c>
      <c r="F321" s="65" t="n"/>
      <c r="G321" s="71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 t="n"/>
      <c r="S321" s="65" t="n"/>
      <c r="T321" s="65" t="n"/>
      <c r="U321" s="65" t="n"/>
      <c r="V321" s="65" t="n"/>
      <c r="W321" s="65" t="n"/>
      <c r="X321" s="65" t="n"/>
      <c r="Y321" s="65" t="n"/>
      <c r="Z321" s="65" t="n"/>
    </row>
    <row r="322" ht="12.75" customHeight="1" s="85">
      <c r="A322" s="65" t="n"/>
      <c r="B322" s="68" t="n">
        <v>45755</v>
      </c>
      <c r="C322" s="69" t="inlineStr">
        <is>
          <t>USD</t>
        </is>
      </c>
      <c r="D322" s="69" t="n">
        <v>5.9362</v>
      </c>
      <c r="E322" s="69" t="n">
        <v>5.9368</v>
      </c>
      <c r="F322" s="65" t="n"/>
      <c r="G322" s="71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5" t="n"/>
      <c r="X322" s="65" t="n"/>
      <c r="Y322" s="65" t="n"/>
      <c r="Z322" s="65" t="n"/>
    </row>
    <row r="323" ht="12.75" customHeight="1" s="85">
      <c r="A323" s="65" t="n"/>
      <c r="B323" s="68" t="n">
        <v>45756</v>
      </c>
      <c r="C323" s="69" t="inlineStr">
        <is>
          <t>USD</t>
        </is>
      </c>
      <c r="D323" s="69" t="n">
        <v>6.0599</v>
      </c>
      <c r="E323" s="69" t="n">
        <v>6.0605</v>
      </c>
      <c r="F323" s="65" t="n"/>
      <c r="G323" s="71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65" t="n"/>
      <c r="T323" s="65" t="n"/>
      <c r="U323" s="65" t="n"/>
      <c r="V323" s="65" t="n"/>
      <c r="W323" s="65" t="n"/>
      <c r="X323" s="65" t="n"/>
      <c r="Y323" s="65" t="n"/>
      <c r="Z323" s="65" t="n"/>
    </row>
    <row r="324" ht="12.75" customHeight="1" s="85">
      <c r="A324" s="65" t="n"/>
      <c r="B324" s="68" t="n">
        <v>45757</v>
      </c>
      <c r="C324" s="69" t="inlineStr">
        <is>
          <t>USD</t>
        </is>
      </c>
      <c r="D324" s="69" t="n">
        <v>5.9109</v>
      </c>
      <c r="E324" s="69" t="n">
        <v>5.9115</v>
      </c>
      <c r="F324" s="65" t="n"/>
      <c r="G324" s="71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5" t="n"/>
      <c r="X324" s="65" t="n"/>
      <c r="Y324" s="65" t="n"/>
      <c r="Z324" s="65" t="n"/>
    </row>
    <row r="325" ht="12.75" customHeight="1" s="85">
      <c r="A325" s="65" t="n"/>
      <c r="B325" s="68" t="n">
        <v>45758</v>
      </c>
      <c r="C325" s="69" t="inlineStr">
        <is>
          <t>USD</t>
        </is>
      </c>
      <c r="D325" s="69" t="n">
        <v>5.8731</v>
      </c>
      <c r="E325" s="69" t="n">
        <v>5.8737</v>
      </c>
      <c r="F325" s="65" t="n"/>
      <c r="G325" s="71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65" t="n"/>
      <c r="R325" s="65" t="n"/>
      <c r="S325" s="65" t="n"/>
      <c r="T325" s="65" t="n"/>
      <c r="U325" s="65" t="n"/>
      <c r="V325" s="65" t="n"/>
      <c r="W325" s="65" t="n"/>
      <c r="X325" s="65" t="n"/>
      <c r="Y325" s="65" t="n"/>
      <c r="Z325" s="65" t="n"/>
    </row>
    <row r="326" ht="12.75" customHeight="1" s="85">
      <c r="A326" s="65" t="n"/>
      <c r="B326" s="68" t="n">
        <v>45761</v>
      </c>
      <c r="C326" s="69" t="inlineStr">
        <is>
          <t>USD</t>
        </is>
      </c>
      <c r="D326" s="69" t="n">
        <v>5.8419</v>
      </c>
      <c r="E326" s="69" t="n">
        <v>5.8425</v>
      </c>
      <c r="F326" s="65" t="n"/>
      <c r="G326" s="71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5" t="n"/>
      <c r="X326" s="65" t="n"/>
      <c r="Y326" s="65" t="n"/>
      <c r="Z326" s="65" t="n"/>
    </row>
    <row r="327" ht="12.75" customHeight="1" s="85">
      <c r="A327" s="65" t="n"/>
      <c r="B327" s="68" t="n">
        <v>45762</v>
      </c>
      <c r="C327" s="69" t="inlineStr">
        <is>
          <t>USD</t>
        </is>
      </c>
      <c r="D327" s="69" t="n">
        <v>5.8701</v>
      </c>
      <c r="E327" s="69" t="n">
        <v>5.8707</v>
      </c>
      <c r="F327" s="65" t="n"/>
      <c r="G327" s="71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65" t="n"/>
      <c r="R327" s="65" t="n"/>
      <c r="S327" s="65" t="n"/>
      <c r="T327" s="65" t="n"/>
      <c r="U327" s="65" t="n"/>
      <c r="V327" s="65" t="n"/>
      <c r="W327" s="65" t="n"/>
      <c r="X327" s="65" t="n"/>
      <c r="Y327" s="65" t="n"/>
      <c r="Z327" s="65" t="n"/>
    </row>
    <row r="328" ht="12.75" customHeight="1" s="85">
      <c r="A328" s="65" t="n"/>
      <c r="B328" s="68" t="n">
        <v>45763</v>
      </c>
      <c r="C328" s="69" t="inlineStr">
        <is>
          <t>USD</t>
        </is>
      </c>
      <c r="D328" s="69" t="n">
        <v>5.8802</v>
      </c>
      <c r="E328" s="69" t="n">
        <v>5.8808</v>
      </c>
      <c r="F328" s="65" t="n"/>
      <c r="G328" s="71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5" t="n"/>
      <c r="X328" s="65" t="n"/>
      <c r="Y328" s="65" t="n"/>
      <c r="Z328" s="65" t="n"/>
    </row>
    <row r="329" ht="12.75" customHeight="1" s="85">
      <c r="A329" s="65" t="n"/>
      <c r="B329" s="68" t="n">
        <v>45764</v>
      </c>
      <c r="C329" s="69" t="inlineStr">
        <is>
          <t>USD</t>
        </is>
      </c>
      <c r="D329" s="69" t="n">
        <v>5.8553</v>
      </c>
      <c r="E329" s="69" t="n">
        <v>5.8559</v>
      </c>
      <c r="F329" s="65" t="n"/>
      <c r="G329" s="71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65" t="n"/>
      <c r="R329" s="65" t="n"/>
      <c r="S329" s="65" t="n"/>
      <c r="T329" s="65" t="n"/>
      <c r="U329" s="65" t="n"/>
      <c r="V329" s="65" t="n"/>
      <c r="W329" s="65" t="n"/>
      <c r="X329" s="65" t="n"/>
      <c r="Y329" s="65" t="n"/>
      <c r="Z329" s="65" t="n"/>
    </row>
    <row r="330" ht="12.75" customHeight="1" s="85">
      <c r="A330" s="65" t="n"/>
      <c r="B330" s="68" t="n">
        <v>45769</v>
      </c>
      <c r="C330" s="69" t="inlineStr">
        <is>
          <t>USD</t>
        </is>
      </c>
      <c r="D330" s="69" t="n">
        <v>5.749</v>
      </c>
      <c r="E330" s="69" t="n">
        <v>5.7496</v>
      </c>
      <c r="F330" s="65" t="n"/>
      <c r="G330" s="71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5" t="n"/>
      <c r="X330" s="65" t="n"/>
      <c r="Y330" s="65" t="n"/>
      <c r="Z330" s="65" t="n"/>
    </row>
    <row r="331" ht="12.75" customHeight="1" s="85">
      <c r="A331" s="65" t="n"/>
      <c r="B331" s="68" t="n">
        <v>45770</v>
      </c>
      <c r="C331" s="69" t="inlineStr">
        <is>
          <t>USD</t>
        </is>
      </c>
      <c r="D331" s="69" t="n">
        <v>5.6874</v>
      </c>
      <c r="E331" s="69" t="n">
        <v>5.688</v>
      </c>
      <c r="F331" s="65" t="n"/>
      <c r="G331" s="71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65" t="n"/>
      <c r="R331" s="65" t="n"/>
      <c r="S331" s="65" t="n"/>
      <c r="T331" s="65" t="n"/>
      <c r="U331" s="65" t="n"/>
      <c r="V331" s="65" t="n"/>
      <c r="W331" s="65" t="n"/>
      <c r="X331" s="65" t="n"/>
      <c r="Y331" s="65" t="n"/>
      <c r="Z331" s="65" t="n"/>
    </row>
    <row r="332" ht="12.75" customHeight="1" s="85">
      <c r="A332" s="65" t="n"/>
      <c r="B332" s="68" t="n">
        <v>45771</v>
      </c>
      <c r="C332" s="69" t="inlineStr">
        <is>
          <t>USD</t>
        </is>
      </c>
      <c r="D332" s="69" t="n">
        <v>5.6732</v>
      </c>
      <c r="E332" s="69" t="n">
        <v>5.6738</v>
      </c>
      <c r="F332" s="65" t="n"/>
      <c r="G332" s="71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5" t="n"/>
      <c r="X332" s="65" t="n"/>
      <c r="Y332" s="65" t="n"/>
      <c r="Z332" s="65" t="n"/>
    </row>
    <row r="333" ht="12.75" customHeight="1" s="85">
      <c r="A333" s="65" t="n"/>
      <c r="B333" s="68" t="n">
        <v>45772</v>
      </c>
      <c r="C333" s="69" t="inlineStr">
        <is>
          <t>USD</t>
        </is>
      </c>
      <c r="D333" s="69" t="n">
        <v>5.684</v>
      </c>
      <c r="E333" s="69" t="n">
        <v>5.6846</v>
      </c>
      <c r="F333" s="65" t="n"/>
      <c r="G333" s="71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65" t="n"/>
      <c r="R333" s="65" t="n"/>
      <c r="S333" s="65" t="n"/>
      <c r="T333" s="65" t="n"/>
      <c r="U333" s="65" t="n"/>
      <c r="V333" s="65" t="n"/>
      <c r="W333" s="65" t="n"/>
      <c r="X333" s="65" t="n"/>
      <c r="Y333" s="65" t="n"/>
      <c r="Z333" s="65" t="n"/>
    </row>
    <row r="334" ht="12.75" customHeight="1" s="85">
      <c r="A334" s="65" t="n"/>
      <c r="B334" s="68" t="n">
        <v>45775</v>
      </c>
      <c r="C334" s="69" t="inlineStr">
        <is>
          <t>USD</t>
        </is>
      </c>
      <c r="D334" s="69" t="n">
        <v>5.6675</v>
      </c>
      <c r="E334" s="69" t="n">
        <v>5.6681</v>
      </c>
      <c r="F334" s="65" t="n"/>
      <c r="G334" s="71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5" t="n"/>
      <c r="X334" s="65" t="n"/>
      <c r="Y334" s="65" t="n"/>
      <c r="Z334" s="65" t="n"/>
    </row>
    <row r="335" ht="12.75" customHeight="1" s="85">
      <c r="A335" s="65" t="n"/>
      <c r="B335" s="68" t="n">
        <v>45776</v>
      </c>
      <c r="C335" s="69" t="inlineStr">
        <is>
          <t>USD</t>
        </is>
      </c>
      <c r="D335" s="69" t="n">
        <v>5.6461</v>
      </c>
      <c r="E335" s="69" t="n">
        <v>5.6467</v>
      </c>
      <c r="F335" s="65" t="n"/>
      <c r="G335" s="71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65" t="n"/>
      <c r="T335" s="65" t="n"/>
      <c r="U335" s="65" t="n"/>
      <c r="V335" s="65" t="n"/>
      <c r="W335" s="65" t="n"/>
      <c r="X335" s="65" t="n"/>
      <c r="Y335" s="65" t="n"/>
      <c r="Z335" s="65" t="n"/>
    </row>
    <row r="336" ht="12.75" customHeight="1" s="85">
      <c r="A336" s="65" t="n"/>
      <c r="B336" s="68" t="n">
        <v>45777</v>
      </c>
      <c r="C336" s="69" t="inlineStr">
        <is>
          <t>USD</t>
        </is>
      </c>
      <c r="D336" s="69" t="n">
        <v>5.6602</v>
      </c>
      <c r="E336" s="69" t="n">
        <v>5.6608</v>
      </c>
      <c r="F336" s="65" t="n"/>
      <c r="G336" s="71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5" t="n"/>
      <c r="X336" s="65" t="n"/>
      <c r="Y336" s="65" t="n"/>
      <c r="Z336" s="65" t="n"/>
    </row>
    <row r="337" ht="12.75" customHeight="1" s="85">
      <c r="A337" s="65" t="n"/>
      <c r="B337" s="68" t="n">
        <v>45779</v>
      </c>
      <c r="C337" s="69" t="inlineStr">
        <is>
          <t>USD</t>
        </is>
      </c>
      <c r="D337" s="69" t="n">
        <v>5.6388</v>
      </c>
      <c r="E337" s="69" t="n">
        <v>5.6394</v>
      </c>
      <c r="F337" s="65" t="n"/>
      <c r="G337" s="71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65" t="n"/>
      <c r="R337" s="65" t="n"/>
      <c r="S337" s="65" t="n"/>
      <c r="T337" s="65" t="n"/>
      <c r="U337" s="65" t="n"/>
      <c r="V337" s="65" t="n"/>
      <c r="W337" s="65" t="n"/>
      <c r="X337" s="65" t="n"/>
      <c r="Y337" s="65" t="n"/>
      <c r="Z337" s="65" t="n"/>
    </row>
    <row r="338" ht="12.75" customHeight="1" s="85">
      <c r="A338" s="65" t="n"/>
      <c r="B338" s="68" t="n">
        <v>45782</v>
      </c>
      <c r="C338" s="69" t="inlineStr">
        <is>
          <t>USD</t>
        </is>
      </c>
      <c r="D338" s="69" t="n">
        <v>5.6514</v>
      </c>
      <c r="E338" s="69" t="n">
        <v>5.652</v>
      </c>
      <c r="F338" s="65" t="n"/>
      <c r="G338" s="71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5" t="n"/>
      <c r="X338" s="65" t="n"/>
      <c r="Y338" s="65" t="n"/>
      <c r="Z338" s="65" t="n"/>
    </row>
    <row r="339" ht="12.75" customHeight="1" s="85">
      <c r="A339" s="65" t="n"/>
      <c r="B339" s="68" t="n">
        <v>45783</v>
      </c>
      <c r="C339" s="69" t="inlineStr">
        <is>
          <t>USD</t>
        </is>
      </c>
      <c r="D339" s="69" t="n">
        <v>5.7204</v>
      </c>
      <c r="E339" s="69" t="n">
        <v>5.721</v>
      </c>
      <c r="F339" s="65" t="n"/>
      <c r="G339" s="71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65" t="n"/>
      <c r="R339" s="65" t="n"/>
      <c r="S339" s="65" t="n"/>
      <c r="T339" s="65" t="n"/>
      <c r="U339" s="65" t="n"/>
      <c r="V339" s="65" t="n"/>
      <c r="W339" s="65" t="n"/>
      <c r="X339" s="65" t="n"/>
      <c r="Y339" s="65" t="n"/>
      <c r="Z339" s="65" t="n"/>
    </row>
    <row r="340" ht="12.75" customHeight="1" s="85">
      <c r="A340" s="65" t="n"/>
      <c r="B340" s="68" t="n">
        <v>45784</v>
      </c>
      <c r="C340" s="69" t="inlineStr">
        <is>
          <t>USD</t>
        </is>
      </c>
      <c r="D340" s="69" t="n">
        <v>5.7368</v>
      </c>
      <c r="E340" s="69" t="n">
        <v>5.7375</v>
      </c>
      <c r="F340" s="65" t="n"/>
      <c r="G340" s="71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5" t="n"/>
      <c r="X340" s="65" t="n"/>
      <c r="Y340" s="65" t="n"/>
      <c r="Z340" s="65" t="n"/>
    </row>
    <row r="341" ht="12.75" customHeight="1" s="85">
      <c r="A341" s="65" t="n"/>
      <c r="B341" s="68" t="n">
        <v>45785</v>
      </c>
      <c r="C341" s="69" t="inlineStr">
        <is>
          <t>USD</t>
        </is>
      </c>
      <c r="D341" s="69" t="n">
        <v>5.6854</v>
      </c>
      <c r="E341" s="69" t="n">
        <v>5.686</v>
      </c>
      <c r="F341" s="65" t="n"/>
      <c r="G341" s="71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65" t="n"/>
      <c r="R341" s="65" t="n"/>
      <c r="S341" s="65" t="n"/>
      <c r="T341" s="65" t="n"/>
      <c r="U341" s="65" t="n"/>
      <c r="V341" s="65" t="n"/>
      <c r="W341" s="65" t="n"/>
      <c r="X341" s="65" t="n"/>
      <c r="Y341" s="65" t="n"/>
      <c r="Z341" s="65" t="n"/>
    </row>
    <row r="342" ht="12.75" customHeight="1" s="85">
      <c r="A342" s="65" t="n"/>
      <c r="B342" s="68" t="n">
        <v>45786</v>
      </c>
      <c r="C342" s="69" t="inlineStr">
        <is>
          <t>USD</t>
        </is>
      </c>
      <c r="D342" s="69" t="n">
        <v>5.6505</v>
      </c>
      <c r="E342" s="69" t="n">
        <v>5.6511</v>
      </c>
      <c r="F342" s="65" t="n"/>
      <c r="G342" s="71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5" t="n"/>
      <c r="X342" s="65" t="n"/>
      <c r="Y342" s="65" t="n"/>
      <c r="Z342" s="65" t="n"/>
    </row>
    <row r="343" ht="12.75" customHeight="1" s="85">
      <c r="A343" s="65" t="n"/>
      <c r="B343" s="68" t="n">
        <v>45789</v>
      </c>
      <c r="C343" s="69" t="inlineStr">
        <is>
          <t>USD</t>
        </is>
      </c>
      <c r="D343" s="69" t="n">
        <v>5.6816</v>
      </c>
      <c r="E343" s="69" t="n">
        <v>5.6822</v>
      </c>
      <c r="F343" s="65" t="n"/>
      <c r="G343" s="71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65" t="n"/>
      <c r="R343" s="65" t="n"/>
      <c r="S343" s="65" t="n"/>
      <c r="T343" s="65" t="n"/>
      <c r="U343" s="65" t="n"/>
      <c r="V343" s="65" t="n"/>
      <c r="W343" s="65" t="n"/>
      <c r="X343" s="65" t="n"/>
      <c r="Y343" s="65" t="n"/>
      <c r="Z343" s="65" t="n"/>
    </row>
    <row r="344" ht="12.75" customHeight="1" s="85">
      <c r="A344" s="65" t="n"/>
      <c r="B344" s="68" t="n">
        <v>45790</v>
      </c>
      <c r="C344" s="69" t="inlineStr">
        <is>
          <t>USD</t>
        </is>
      </c>
      <c r="D344" s="69" t="n">
        <v>5.6256</v>
      </c>
      <c r="E344" s="69" t="n">
        <v>5.6262</v>
      </c>
      <c r="F344" s="65" t="n"/>
      <c r="G344" s="71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5" t="n"/>
      <c r="X344" s="65" t="n"/>
      <c r="Y344" s="65" t="n"/>
      <c r="Z344" s="65" t="n"/>
    </row>
    <row r="345" ht="12.75" customHeight="1" s="85">
      <c r="A345" s="65" t="n"/>
      <c r="B345" s="68" t="n">
        <v>45791</v>
      </c>
      <c r="C345" s="69" t="inlineStr">
        <is>
          <t>USD</t>
        </is>
      </c>
      <c r="D345" s="69" t="n">
        <v>5.6094</v>
      </c>
      <c r="E345" s="69" t="n">
        <v>5.61</v>
      </c>
      <c r="F345" s="65" t="n"/>
      <c r="G345" s="71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65" t="n"/>
      <c r="T345" s="65" t="n"/>
      <c r="U345" s="65" t="n"/>
      <c r="V345" s="65" t="n"/>
      <c r="W345" s="65" t="n"/>
      <c r="X345" s="65" t="n"/>
      <c r="Y345" s="65" t="n"/>
      <c r="Z345" s="65" t="n"/>
    </row>
    <row r="346" ht="12.75" customHeight="1" s="85">
      <c r="A346" s="65" t="n"/>
      <c r="B346" s="68" t="n">
        <v>45792</v>
      </c>
      <c r="C346" s="69" t="inlineStr">
        <is>
          <t>USD</t>
        </is>
      </c>
      <c r="D346" s="69" t="n">
        <v>5.6322</v>
      </c>
      <c r="E346" s="69" t="n">
        <v>5.6328</v>
      </c>
      <c r="F346" s="65" t="n"/>
      <c r="G346" s="71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5" t="n"/>
      <c r="X346" s="65" t="n"/>
      <c r="Y346" s="65" t="n"/>
      <c r="Z346" s="65" t="n"/>
    </row>
    <row r="347" ht="12.75" customHeight="1" s="85">
      <c r="A347" s="65" t="n"/>
      <c r="B347" s="68" t="n">
        <v>45793</v>
      </c>
      <c r="C347" s="69" t="inlineStr">
        <is>
          <t>USD</t>
        </is>
      </c>
      <c r="D347" s="69" t="n">
        <v>5.6919</v>
      </c>
      <c r="E347" s="69" t="n">
        <v>5.6925</v>
      </c>
      <c r="F347" s="65" t="n"/>
      <c r="G347" s="71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65" t="n"/>
      <c r="R347" s="65" t="n"/>
      <c r="S347" s="65" t="n"/>
      <c r="T347" s="65" t="n"/>
      <c r="U347" s="65" t="n"/>
      <c r="V347" s="65" t="n"/>
      <c r="W347" s="65" t="n"/>
      <c r="X347" s="65" t="n"/>
      <c r="Y347" s="65" t="n"/>
      <c r="Z347" s="65" t="n"/>
    </row>
    <row r="348" ht="12.75" customHeight="1" s="85">
      <c r="A348" s="65" t="n"/>
      <c r="B348" s="68" t="n">
        <v>45796</v>
      </c>
      <c r="C348" s="69" t="inlineStr">
        <is>
          <t>USD</t>
        </is>
      </c>
      <c r="D348" s="69" t="n">
        <v>5.6585</v>
      </c>
      <c r="E348" s="69" t="n">
        <v>5.6591</v>
      </c>
      <c r="F348" s="65" t="n"/>
      <c r="G348" s="71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5" t="n"/>
      <c r="X348" s="65" t="n"/>
      <c r="Y348" s="65" t="n"/>
      <c r="Z348" s="65" t="n"/>
    </row>
    <row r="349" ht="12.75" customHeight="1" s="85">
      <c r="A349" s="65" t="n"/>
      <c r="B349" s="68" t="n">
        <v>45797</v>
      </c>
      <c r="C349" s="69" t="inlineStr">
        <is>
          <t>USD</t>
        </is>
      </c>
      <c r="D349" s="69" t="n">
        <v>5.6614</v>
      </c>
      <c r="E349" s="69" t="n">
        <v>5.662</v>
      </c>
      <c r="F349" s="65" t="n"/>
      <c r="G349" s="71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65" t="n"/>
      <c r="R349" s="65" t="n"/>
      <c r="S349" s="65" t="n"/>
      <c r="T349" s="65" t="n"/>
      <c r="U349" s="65" t="n"/>
      <c r="V349" s="65" t="n"/>
      <c r="W349" s="65" t="n"/>
      <c r="X349" s="65" t="n"/>
      <c r="Y349" s="65" t="n"/>
      <c r="Z349" s="65" t="n"/>
    </row>
    <row r="350" ht="12.75" customHeight="1" s="85">
      <c r="A350" s="65" t="n"/>
      <c r="B350" s="68" t="n">
        <v>45798</v>
      </c>
      <c r="C350" s="69" t="inlineStr">
        <is>
          <t>USD</t>
        </is>
      </c>
      <c r="D350" s="69" t="n">
        <v>5.6565</v>
      </c>
      <c r="E350" s="69" t="n">
        <v>5.6571</v>
      </c>
      <c r="F350" s="65" t="n"/>
      <c r="G350" s="71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5" t="n"/>
      <c r="X350" s="65" t="n"/>
      <c r="Y350" s="65" t="n"/>
      <c r="Z350" s="65" t="n"/>
    </row>
    <row r="351" ht="12.75" customHeight="1" s="85">
      <c r="A351" s="65" t="n"/>
      <c r="B351" s="68" t="n">
        <v>45799</v>
      </c>
      <c r="C351" s="69" t="inlineStr">
        <is>
          <t>USD</t>
        </is>
      </c>
      <c r="D351" s="69" t="n">
        <v>5.6384</v>
      </c>
      <c r="E351" s="69" t="n">
        <v>5.639</v>
      </c>
      <c r="F351" s="65" t="n"/>
      <c r="G351" s="71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65" t="n"/>
      <c r="R351" s="65" t="n"/>
      <c r="S351" s="65" t="n"/>
      <c r="T351" s="65" t="n"/>
      <c r="U351" s="65" t="n"/>
      <c r="V351" s="65" t="n"/>
      <c r="W351" s="65" t="n"/>
      <c r="X351" s="65" t="n"/>
      <c r="Y351" s="65" t="n"/>
      <c r="Z351" s="65" t="n"/>
    </row>
    <row r="352" ht="12.75" customHeight="1" s="85">
      <c r="A352" s="65" t="n"/>
      <c r="B352" s="68" t="n">
        <v>45800</v>
      </c>
      <c r="C352" s="69" t="inlineStr">
        <is>
          <t>USD</t>
        </is>
      </c>
      <c r="D352" s="69" t="n">
        <v>5.6926</v>
      </c>
      <c r="E352" s="69" t="n">
        <v>5.6932</v>
      </c>
      <c r="F352" s="65" t="n"/>
      <c r="G352" s="71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5" t="n"/>
      <c r="X352" s="65" t="n"/>
      <c r="Y352" s="65" t="n"/>
      <c r="Z352" s="65" t="n"/>
    </row>
    <row r="353" ht="12.75" customHeight="1" s="85">
      <c r="A353" s="65" t="n"/>
      <c r="B353" s="68" t="n">
        <v>45803</v>
      </c>
      <c r="C353" s="69" t="inlineStr">
        <is>
          <t>USD</t>
        </is>
      </c>
      <c r="D353" s="69" t="n">
        <v>5.6613</v>
      </c>
      <c r="E353" s="69" t="n">
        <v>5.6619</v>
      </c>
      <c r="F353" s="65" t="n"/>
      <c r="G353" s="71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65" t="n"/>
      <c r="R353" s="65" t="n"/>
      <c r="S353" s="65" t="n"/>
      <c r="T353" s="65" t="n"/>
      <c r="U353" s="65" t="n"/>
      <c r="V353" s="65" t="n"/>
      <c r="W353" s="65" t="n"/>
      <c r="X353" s="65" t="n"/>
      <c r="Y353" s="65" t="n"/>
      <c r="Z353" s="65" t="n"/>
    </row>
    <row r="354" ht="12.75" customHeight="1" s="85">
      <c r="A354" s="65" t="n"/>
      <c r="B354" s="68" t="n">
        <v>45804</v>
      </c>
      <c r="C354" s="69" t="inlineStr">
        <is>
          <t>USD</t>
        </is>
      </c>
      <c r="D354" s="69" t="n">
        <v>5.6533</v>
      </c>
      <c r="E354" s="69" t="n">
        <v>5.6539</v>
      </c>
      <c r="F354" s="65" t="n"/>
      <c r="G354" s="71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5" t="n"/>
      <c r="X354" s="65" t="n"/>
      <c r="Y354" s="65" t="n"/>
      <c r="Z354" s="65" t="n"/>
    </row>
    <row r="355" ht="12.75" customHeight="1" s="85">
      <c r="A355" s="65" t="n"/>
      <c r="B355" s="68" t="n">
        <v>45805</v>
      </c>
      <c r="C355" s="69" t="inlineStr">
        <is>
          <t>USD</t>
        </is>
      </c>
      <c r="D355" s="69" t="n">
        <v>5.693</v>
      </c>
      <c r="E355" s="69" t="n">
        <v>5.6936</v>
      </c>
      <c r="F355" s="65" t="n"/>
      <c r="G355" s="71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65" t="n"/>
      <c r="R355" s="65" t="n"/>
      <c r="S355" s="65" t="n"/>
      <c r="T355" s="65" t="n"/>
      <c r="U355" s="65" t="n"/>
      <c r="V355" s="65" t="n"/>
      <c r="W355" s="65" t="n"/>
      <c r="X355" s="65" t="n"/>
      <c r="Y355" s="65" t="n"/>
      <c r="Z355" s="65" t="n"/>
    </row>
    <row r="356" ht="12.75" customHeight="1" s="85">
      <c r="A356" s="65" t="n"/>
      <c r="B356" s="68" t="n">
        <v>45806</v>
      </c>
      <c r="C356" s="69" t="inlineStr">
        <is>
          <t>USD</t>
        </is>
      </c>
      <c r="D356" s="69" t="n">
        <v>5.6553</v>
      </c>
      <c r="E356" s="69" t="n">
        <v>5.6559</v>
      </c>
      <c r="F356" s="65" t="n"/>
      <c r="G356" s="71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5" t="n"/>
      <c r="X356" s="65" t="n"/>
      <c r="Y356" s="65" t="n"/>
      <c r="Z356" s="65" t="n"/>
    </row>
    <row r="357" ht="12.75" customHeight="1" s="85">
      <c r="A357" s="65" t="n"/>
      <c r="B357" s="68" t="n">
        <v>45807</v>
      </c>
      <c r="C357" s="69" t="inlineStr">
        <is>
          <t>USD</t>
        </is>
      </c>
      <c r="D357" s="69" t="n">
        <v>5.7081</v>
      </c>
      <c r="E357" s="69" t="n">
        <v>5.7087</v>
      </c>
      <c r="F357" s="65" t="n"/>
      <c r="G357" s="71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65" t="n"/>
      <c r="R357" s="65" t="n"/>
      <c r="S357" s="65" t="n"/>
      <c r="T357" s="65" t="n"/>
      <c r="U357" s="65" t="n"/>
      <c r="V357" s="65" t="n"/>
      <c r="W357" s="65" t="n"/>
      <c r="X357" s="65" t="n"/>
      <c r="Y357" s="65" t="n"/>
      <c r="Z357" s="65" t="n"/>
    </row>
    <row r="358" ht="12.75" customHeight="1" s="85">
      <c r="A358" s="65" t="n"/>
      <c r="B358" s="68" t="n">
        <v>45810</v>
      </c>
      <c r="C358" s="69" t="inlineStr">
        <is>
          <t>USD</t>
        </is>
      </c>
      <c r="D358" s="69" t="n">
        <v>5.6931</v>
      </c>
      <c r="E358" s="69" t="n">
        <v>5.6937</v>
      </c>
      <c r="F358" s="65" t="n"/>
      <c r="G358" s="71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5" t="n"/>
      <c r="X358" s="65" t="n"/>
      <c r="Y358" s="65" t="n"/>
      <c r="Z358" s="65" t="n"/>
    </row>
    <row r="359" ht="12.75" customHeight="1" s="85">
      <c r="A359" s="65" t="n"/>
      <c r="B359" s="68" t="n">
        <v>45811</v>
      </c>
      <c r="C359" s="69" t="inlineStr">
        <is>
          <t>USD</t>
        </is>
      </c>
      <c r="D359" s="69" t="n">
        <v>5.6688</v>
      </c>
      <c r="E359" s="69" t="n">
        <v>5.6694</v>
      </c>
      <c r="F359" s="65" t="n"/>
      <c r="G359" s="71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65" t="n"/>
      <c r="R359" s="65" t="n"/>
      <c r="S359" s="65" t="n"/>
      <c r="T359" s="65" t="n"/>
      <c r="U359" s="65" t="n"/>
      <c r="V359" s="65" t="n"/>
      <c r="W359" s="65" t="n"/>
      <c r="X359" s="65" t="n"/>
      <c r="Y359" s="65" t="n"/>
      <c r="Z359" s="65" t="n"/>
    </row>
    <row r="360" ht="12.75" customHeight="1" s="85">
      <c r="A360" s="65" t="n"/>
      <c r="B360" s="68" t="n">
        <v>45812</v>
      </c>
      <c r="C360" s="69" t="inlineStr">
        <is>
          <t>USD</t>
        </is>
      </c>
      <c r="D360" s="69" t="n">
        <v>5.6326</v>
      </c>
      <c r="E360" s="69" t="n">
        <v>5.6332</v>
      </c>
      <c r="F360" s="65" t="n"/>
      <c r="G360" s="71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5" t="n"/>
      <c r="X360" s="65" t="n"/>
      <c r="Y360" s="65" t="n"/>
      <c r="Z360" s="65" t="n"/>
    </row>
    <row r="361" ht="12.75" customHeight="1" s="85">
      <c r="A361" s="65" t="n"/>
      <c r="B361" s="68" t="n">
        <v>45813</v>
      </c>
      <c r="C361" s="69" t="inlineStr">
        <is>
          <t>USD</t>
        </is>
      </c>
      <c r="D361" s="69" t="n">
        <v>5.5963</v>
      </c>
      <c r="E361" s="69" t="n">
        <v>5.5969</v>
      </c>
      <c r="F361" s="65" t="n"/>
      <c r="G361" s="71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65" t="n"/>
      <c r="R361" s="65" t="n"/>
      <c r="S361" s="65" t="n"/>
      <c r="T361" s="65" t="n"/>
      <c r="U361" s="65" t="n"/>
      <c r="V361" s="65" t="n"/>
      <c r="W361" s="65" t="n"/>
      <c r="X361" s="65" t="n"/>
      <c r="Y361" s="65" t="n"/>
      <c r="Z361" s="65" t="n"/>
    </row>
    <row r="362" ht="12.75" customHeight="1" s="85">
      <c r="A362" s="65" t="n"/>
      <c r="B362" s="68" t="n">
        <v>45814</v>
      </c>
      <c r="C362" s="69" t="inlineStr">
        <is>
          <t>USD</t>
        </is>
      </c>
      <c r="D362" s="69" t="n">
        <v>5.5941</v>
      </c>
      <c r="E362" s="69" t="n">
        <v>5.5947</v>
      </c>
      <c r="F362" s="65" t="n"/>
      <c r="G362" s="71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5" t="n"/>
      <c r="X362" s="65" t="n"/>
      <c r="Y362" s="65" t="n"/>
      <c r="Z362" s="65" t="n"/>
    </row>
    <row r="363" ht="12.75" customHeight="1" s="85">
      <c r="A363" s="65" t="n"/>
      <c r="B363" s="68" t="n">
        <v>45817</v>
      </c>
      <c r="C363" s="69" t="inlineStr">
        <is>
          <t>USD</t>
        </is>
      </c>
      <c r="D363" s="69" t="n">
        <v>5.5754</v>
      </c>
      <c r="E363" s="69" t="n">
        <v>5.576</v>
      </c>
      <c r="F363" s="65" t="n"/>
      <c r="G363" s="71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65" t="n"/>
      <c r="R363" s="65" t="n"/>
      <c r="S363" s="65" t="n"/>
      <c r="T363" s="65" t="n"/>
      <c r="U363" s="65" t="n"/>
      <c r="V363" s="65" t="n"/>
      <c r="W363" s="65" t="n"/>
      <c r="X363" s="65" t="n"/>
      <c r="Y363" s="65" t="n"/>
      <c r="Z363" s="65" t="n"/>
    </row>
    <row r="364" ht="12.75" customHeight="1" s="85">
      <c r="A364" s="65" t="n"/>
      <c r="B364" s="68" t="n">
        <v>45818</v>
      </c>
      <c r="C364" s="69" t="inlineStr">
        <is>
          <t>USD</t>
        </is>
      </c>
      <c r="D364" s="69" t="n">
        <v>5.5551</v>
      </c>
      <c r="E364" s="69" t="n">
        <v>5.5557</v>
      </c>
      <c r="F364" s="65" t="n"/>
      <c r="G364" s="71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5" t="n"/>
      <c r="X364" s="65" t="n"/>
      <c r="Y364" s="65" t="n"/>
      <c r="Z364" s="65" t="n"/>
    </row>
    <row r="365" ht="12.75" customHeight="1" s="85">
      <c r="A365" s="65" t="n"/>
      <c r="B365" s="68" t="n">
        <v>45819</v>
      </c>
      <c r="C365" s="69" t="inlineStr">
        <is>
          <t>USD</t>
        </is>
      </c>
      <c r="D365" s="69" t="n">
        <v>5.5384</v>
      </c>
      <c r="E365" s="69" t="n">
        <v>5.539</v>
      </c>
      <c r="F365" s="65" t="n"/>
      <c r="G365" s="71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65" t="n"/>
      <c r="T365" s="65" t="n"/>
      <c r="U365" s="65" t="n"/>
      <c r="V365" s="65" t="n"/>
      <c r="W365" s="65" t="n"/>
      <c r="X365" s="65" t="n"/>
      <c r="Y365" s="65" t="n"/>
      <c r="Z365" s="65" t="n"/>
    </row>
    <row r="366" ht="12.75" customHeight="1" s="85">
      <c r="A366" s="65" t="n"/>
      <c r="B366" s="68" t="n">
        <v>45820</v>
      </c>
      <c r="C366" s="69" t="inlineStr">
        <is>
          <t>USD</t>
        </is>
      </c>
      <c r="D366" s="69" t="n">
        <v>5.5382</v>
      </c>
      <c r="E366" s="69" t="n">
        <v>5.5388</v>
      </c>
      <c r="F366" s="65" t="n"/>
      <c r="G366" s="71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5" t="n"/>
      <c r="X366" s="65" t="n"/>
      <c r="Y366" s="65" t="n"/>
      <c r="Z366" s="65" t="n"/>
    </row>
    <row r="367" ht="12.75" customHeight="1" s="85">
      <c r="A367" s="65" t="n"/>
      <c r="B367" s="68" t="n">
        <v>45821</v>
      </c>
      <c r="C367" s="69" t="inlineStr">
        <is>
          <t>USD</t>
        </is>
      </c>
      <c r="D367" s="69" t="n">
        <v>5.5646</v>
      </c>
      <c r="E367" s="69" t="n">
        <v>5.5652</v>
      </c>
      <c r="F367" s="65" t="n"/>
      <c r="G367" s="71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65" t="n"/>
      <c r="R367" s="65" t="n"/>
      <c r="S367" s="65" t="n"/>
      <c r="T367" s="65" t="n"/>
      <c r="U367" s="65" t="n"/>
      <c r="V367" s="65" t="n"/>
      <c r="W367" s="65" t="n"/>
      <c r="X367" s="65" t="n"/>
      <c r="Y367" s="65" t="n"/>
      <c r="Z367" s="65" t="n"/>
    </row>
    <row r="368" ht="12.75" customHeight="1" s="85">
      <c r="A368" s="65" t="n"/>
      <c r="B368" s="68" t="n">
        <v>45824</v>
      </c>
      <c r="C368" s="69" t="inlineStr">
        <is>
          <t>USD</t>
        </is>
      </c>
      <c r="D368" s="69" t="n">
        <v>5.5117</v>
      </c>
      <c r="E368" s="69" t="n">
        <v>5.5123</v>
      </c>
      <c r="F368" s="65" t="n"/>
      <c r="G368" s="71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5" t="n"/>
      <c r="X368" s="65" t="n"/>
      <c r="Y368" s="65" t="n"/>
      <c r="Z368" s="65" t="n"/>
    </row>
    <row r="369" ht="12.75" customHeight="1" s="85">
      <c r="A369" s="65" t="n"/>
      <c r="B369" s="68" t="n">
        <v>45825</v>
      </c>
      <c r="C369" s="69" t="inlineStr">
        <is>
          <t>USD</t>
        </is>
      </c>
      <c r="D369" s="69" t="n">
        <v>5.4767</v>
      </c>
      <c r="E369" s="69" t="n">
        <v>5.4773</v>
      </c>
      <c r="F369" s="65" t="n"/>
      <c r="G369" s="71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65" t="n"/>
      <c r="R369" s="65" t="n"/>
      <c r="S369" s="65" t="n"/>
      <c r="T369" s="65" t="n"/>
      <c r="U369" s="65" t="n"/>
      <c r="V369" s="65" t="n"/>
      <c r="W369" s="65" t="n"/>
      <c r="X369" s="65" t="n"/>
      <c r="Y369" s="65" t="n"/>
      <c r="Z369" s="65" t="n"/>
    </row>
    <row r="370" ht="12.75" customHeight="1" s="85">
      <c r="A370" s="65" t="n"/>
      <c r="B370" s="68" t="n">
        <v>45826</v>
      </c>
      <c r="C370" s="69" t="inlineStr">
        <is>
          <t>USD</t>
        </is>
      </c>
      <c r="D370" s="69" t="n">
        <v>5.4873</v>
      </c>
      <c r="E370" s="69" t="n">
        <v>5.4879</v>
      </c>
      <c r="F370" s="65" t="n"/>
      <c r="G370" s="71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5" t="n"/>
      <c r="X370" s="65" t="n"/>
      <c r="Y370" s="65" t="n"/>
      <c r="Z370" s="65" t="n"/>
    </row>
    <row r="371" ht="12.75" customHeight="1" s="85">
      <c r="A371" s="65" t="n"/>
      <c r="B371" s="68" t="n">
        <v>45828</v>
      </c>
      <c r="C371" s="69" t="inlineStr">
        <is>
          <t>USD</t>
        </is>
      </c>
      <c r="D371" s="69" t="n">
        <v>5.4951</v>
      </c>
      <c r="E371" s="69" t="n">
        <v>5.4957</v>
      </c>
      <c r="F371" s="65" t="n"/>
      <c r="G371" s="71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65" t="n"/>
      <c r="R371" s="65" t="n"/>
      <c r="S371" s="65" t="n"/>
      <c r="T371" s="65" t="n"/>
      <c r="U371" s="65" t="n"/>
      <c r="V371" s="65" t="n"/>
      <c r="W371" s="65" t="n"/>
      <c r="X371" s="65" t="n"/>
      <c r="Y371" s="65" t="n"/>
      <c r="Z371" s="65" t="n"/>
    </row>
    <row r="372" ht="12.75" customHeight="1" s="85">
      <c r="A372" s="65" t="n"/>
      <c r="B372" s="68" t="n">
        <v>45831</v>
      </c>
      <c r="C372" s="69" t="inlineStr">
        <is>
          <t>USD</t>
        </is>
      </c>
      <c r="D372" s="69" t="n">
        <v>5.5207</v>
      </c>
      <c r="E372" s="69" t="n">
        <v>5.5213</v>
      </c>
      <c r="F372" s="65" t="n"/>
      <c r="G372" s="71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5" t="n"/>
      <c r="X372" s="65" t="n"/>
      <c r="Y372" s="65" t="n"/>
      <c r="Z372" s="65" t="n"/>
    </row>
    <row r="373" ht="12.75" customHeight="1" s="85">
      <c r="A373" s="65" t="n"/>
      <c r="B373" s="68" t="n">
        <v>45832</v>
      </c>
      <c r="C373" s="69" t="inlineStr">
        <is>
          <t>USD</t>
        </is>
      </c>
      <c r="D373" s="69" t="n">
        <v>5.4932</v>
      </c>
      <c r="E373" s="69" t="n">
        <v>5.4938</v>
      </c>
      <c r="F373" s="65" t="n"/>
      <c r="G373" s="71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65" t="n"/>
      <c r="R373" s="65" t="n"/>
      <c r="S373" s="65" t="n"/>
      <c r="T373" s="65" t="n"/>
      <c r="U373" s="65" t="n"/>
      <c r="V373" s="65" t="n"/>
      <c r="W373" s="65" t="n"/>
      <c r="X373" s="65" t="n"/>
      <c r="Y373" s="65" t="n"/>
      <c r="Z373" s="65" t="n"/>
    </row>
    <row r="374" ht="12.75" customHeight="1" s="85">
      <c r="A374" s="65" t="n"/>
      <c r="B374" s="68" t="n">
        <v>45833</v>
      </c>
      <c r="C374" s="69" t="inlineStr">
        <is>
          <t>USD</t>
        </is>
      </c>
      <c r="D374" s="69" t="n">
        <v>5.5421</v>
      </c>
      <c r="E374" s="69" t="n">
        <v>5.5427</v>
      </c>
      <c r="F374" s="65" t="n"/>
      <c r="G374" s="71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5" t="n"/>
      <c r="X374" s="65" t="n"/>
      <c r="Y374" s="65" t="n"/>
      <c r="Z374" s="65" t="n"/>
    </row>
    <row r="375" ht="12.75" customHeight="1" s="85">
      <c r="A375" s="65" t="n"/>
      <c r="B375" s="68" t="n">
        <v>45834</v>
      </c>
      <c r="C375" s="69" t="inlineStr">
        <is>
          <t>USD</t>
        </is>
      </c>
      <c r="D375" s="69" t="n">
        <v>5.5139</v>
      </c>
      <c r="E375" s="69" t="n">
        <v>5.5145</v>
      </c>
      <c r="F375" s="65" t="n"/>
      <c r="G375" s="71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65" t="n"/>
      <c r="R375" s="65" t="n"/>
      <c r="S375" s="65" t="n"/>
      <c r="T375" s="65" t="n"/>
      <c r="U375" s="65" t="n"/>
      <c r="V375" s="65" t="n"/>
      <c r="W375" s="65" t="n"/>
      <c r="X375" s="65" t="n"/>
      <c r="Y375" s="65" t="n"/>
      <c r="Z375" s="65" t="n"/>
    </row>
    <row r="376" ht="12.75" customHeight="1" s="85">
      <c r="A376" s="65" t="n"/>
      <c r="B376" s="68" t="n">
        <v>45835</v>
      </c>
      <c r="C376" s="69" t="inlineStr">
        <is>
          <t>USD</t>
        </is>
      </c>
      <c r="D376" s="69" t="n">
        <v>5.4753</v>
      </c>
      <c r="E376" s="69" t="n">
        <v>5.4759</v>
      </c>
      <c r="F376" s="65" t="n"/>
      <c r="G376" s="71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5" t="n"/>
      <c r="X376" s="65" t="n"/>
      <c r="Y376" s="65" t="n"/>
      <c r="Z376" s="65" t="n"/>
    </row>
    <row r="377" ht="12.75" customHeight="1" s="85">
      <c r="A377" s="65" t="n"/>
      <c r="B377" s="68" t="n">
        <v>45838</v>
      </c>
      <c r="C377" s="69" t="inlineStr">
        <is>
          <t>USD</t>
        </is>
      </c>
      <c r="D377" s="69" t="n">
        <v>5.4565</v>
      </c>
      <c r="E377" s="69" t="n">
        <v>5.4571</v>
      </c>
      <c r="F377" s="65" t="n"/>
      <c r="G377" s="71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65" t="n"/>
      <c r="T377" s="65" t="n"/>
      <c r="U377" s="65" t="n"/>
      <c r="V377" s="65" t="n"/>
      <c r="W377" s="65" t="n"/>
      <c r="X377" s="65" t="n"/>
      <c r="Y377" s="65" t="n"/>
      <c r="Z377" s="65" t="n"/>
    </row>
    <row r="378" ht="12.75" customHeight="1" s="85">
      <c r="A378" s="65" t="n"/>
      <c r="B378" s="68" t="n">
        <v>45839</v>
      </c>
      <c r="C378" s="69" t="inlineStr">
        <is>
          <t>USD</t>
        </is>
      </c>
      <c r="D378" s="69" t="n">
        <v>5.4505</v>
      </c>
      <c r="E378" s="69" t="n">
        <v>5.4511</v>
      </c>
      <c r="F378" s="65" t="n"/>
      <c r="G378" s="71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5" t="n"/>
      <c r="X378" s="65" t="n"/>
      <c r="Y378" s="65" t="n"/>
      <c r="Z378" s="65" t="n"/>
    </row>
    <row r="379" ht="12.75" customHeight="1" s="85">
      <c r="A379" s="65" t="n"/>
      <c r="B379" s="68" t="n">
        <v>45840</v>
      </c>
      <c r="C379" s="69" t="inlineStr">
        <is>
          <t>USD</t>
        </is>
      </c>
      <c r="D379" s="69" t="n">
        <v>5.4506</v>
      </c>
      <c r="E379" s="69" t="n">
        <v>5.4512</v>
      </c>
      <c r="F379" s="65" t="n"/>
      <c r="G379" s="71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65" t="n"/>
      <c r="R379" s="65" t="n"/>
      <c r="S379" s="65" t="n"/>
      <c r="T379" s="65" t="n"/>
      <c r="U379" s="65" t="n"/>
      <c r="V379" s="65" t="n"/>
      <c r="W379" s="65" t="n"/>
      <c r="X379" s="65" t="n"/>
      <c r="Y379" s="65" t="n"/>
      <c r="Z379" s="65" t="n"/>
    </row>
    <row r="380" ht="12.75" customHeight="1" s="85">
      <c r="A380" s="65" t="n"/>
      <c r="B380" s="68" t="n">
        <v>45841</v>
      </c>
      <c r="C380" s="69" t="inlineStr">
        <is>
          <t>USD</t>
        </is>
      </c>
      <c r="D380" s="69" t="n">
        <v>5.4202</v>
      </c>
      <c r="E380" s="69" t="n">
        <v>5.4208</v>
      </c>
      <c r="F380" s="65" t="n"/>
      <c r="G380" s="71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5" t="n"/>
      <c r="X380" s="65" t="n"/>
      <c r="Y380" s="65" t="n"/>
      <c r="Z380" s="65" t="n"/>
    </row>
    <row r="381" ht="12.75" customHeight="1" s="85">
      <c r="A381" s="65" t="n"/>
      <c r="B381" s="68" t="n">
        <v>45842</v>
      </c>
      <c r="C381" s="69" t="inlineStr">
        <is>
          <t>USD</t>
        </is>
      </c>
      <c r="D381" s="69" t="n">
        <v>5.4084</v>
      </c>
      <c r="E381" s="69" t="n">
        <v>5.409</v>
      </c>
      <c r="F381" s="65" t="n"/>
      <c r="G381" s="71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65" t="n"/>
      <c r="T381" s="65" t="n"/>
      <c r="U381" s="65" t="n"/>
      <c r="V381" s="65" t="n"/>
      <c r="W381" s="65" t="n"/>
      <c r="X381" s="65" t="n"/>
      <c r="Y381" s="65" t="n"/>
      <c r="Z381" s="65" t="n"/>
    </row>
    <row r="382" ht="12.75" customHeight="1" s="85">
      <c r="A382" s="65" t="n"/>
      <c r="B382" s="68" t="n">
        <v>45845</v>
      </c>
      <c r="C382" s="69" t="inlineStr">
        <is>
          <t>USD</t>
        </is>
      </c>
      <c r="D382" s="69" t="n">
        <v>5.4546</v>
      </c>
      <c r="E382" s="69" t="n">
        <v>5.4552</v>
      </c>
      <c r="F382" s="65" t="n"/>
      <c r="G382" s="71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5" t="n"/>
      <c r="X382" s="65" t="n"/>
      <c r="Y382" s="65" t="n"/>
      <c r="Z382" s="65" t="n"/>
    </row>
    <row r="383" ht="12.75" customHeight="1" s="85">
      <c r="A383" s="65" t="n"/>
      <c r="B383" s="68" t="n">
        <v>45846</v>
      </c>
      <c r="C383" s="69" t="inlineStr">
        <is>
          <t>USD</t>
        </is>
      </c>
      <c r="D383" s="69" t="n">
        <v>5.4565</v>
      </c>
      <c r="E383" s="69" t="n">
        <v>5.4571</v>
      </c>
      <c r="F383" s="65" t="n"/>
      <c r="G383" s="71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65" t="n"/>
      <c r="R383" s="65" t="n"/>
      <c r="S383" s="65" t="n"/>
      <c r="T383" s="65" t="n"/>
      <c r="U383" s="65" t="n"/>
      <c r="V383" s="65" t="n"/>
      <c r="W383" s="65" t="n"/>
      <c r="X383" s="65" t="n"/>
      <c r="Y383" s="65" t="n"/>
      <c r="Z383" s="65" t="n"/>
    </row>
    <row r="384" ht="12.75" customHeight="1" s="85">
      <c r="A384" s="65" t="n"/>
      <c r="B384" s="68" t="n">
        <v>45847</v>
      </c>
      <c r="C384" s="69" t="inlineStr">
        <is>
          <t>USD</t>
        </is>
      </c>
      <c r="D384" s="69" t="n">
        <v>5.462</v>
      </c>
      <c r="E384" s="69" t="n">
        <v>5.4626</v>
      </c>
      <c r="F384" s="65" t="n"/>
      <c r="G384" s="71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5" t="n"/>
      <c r="X384" s="65" t="n"/>
      <c r="Y384" s="65" t="n"/>
      <c r="Z384" s="65" t="n"/>
    </row>
    <row r="385" ht="12.75" customHeight="1" s="85">
      <c r="A385" s="65" t="n"/>
      <c r="B385" s="68" t="n">
        <v>45848</v>
      </c>
      <c r="C385" s="69" t="inlineStr">
        <is>
          <t>USD</t>
        </is>
      </c>
      <c r="D385" s="69" t="n">
        <v>5.5427</v>
      </c>
      <c r="E385" s="69" t="n">
        <v>5.5433</v>
      </c>
      <c r="F385" s="65" t="n"/>
      <c r="G385" s="71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65" t="n"/>
      <c r="T385" s="65" t="n"/>
      <c r="U385" s="65" t="n"/>
      <c r="V385" s="65" t="n"/>
      <c r="W385" s="65" t="n"/>
      <c r="X385" s="65" t="n"/>
      <c r="Y385" s="65" t="n"/>
      <c r="Z385" s="65" t="n"/>
    </row>
    <row r="386" ht="12.75" customHeight="1" s="85">
      <c r="A386" s="65" t="n"/>
      <c r="B386" s="68" t="n">
        <v>45849</v>
      </c>
      <c r="C386" s="69" t="inlineStr">
        <is>
          <t>USD</t>
        </is>
      </c>
      <c r="D386" s="69" t="n">
        <v>5.5716</v>
      </c>
      <c r="E386" s="69" t="n">
        <v>5.5722</v>
      </c>
      <c r="F386" s="65" t="n"/>
      <c r="G386" s="71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5" t="n"/>
      <c r="X386" s="65" t="n"/>
      <c r="Y386" s="65" t="n"/>
      <c r="Z386" s="65" t="n"/>
    </row>
    <row r="387" ht="12.75" customHeight="1" s="85">
      <c r="A387" s="65" t="n"/>
      <c r="B387" s="68" t="n">
        <v>45852</v>
      </c>
      <c r="C387" s="69" t="inlineStr">
        <is>
          <t>USD</t>
        </is>
      </c>
      <c r="D387" s="69" t="n">
        <v>5.5589</v>
      </c>
      <c r="E387" s="69" t="n">
        <v>5.5595</v>
      </c>
      <c r="F387" s="65" t="n"/>
      <c r="G387" s="71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65" t="n"/>
      <c r="R387" s="65" t="n"/>
      <c r="S387" s="65" t="n"/>
      <c r="T387" s="65" t="n"/>
      <c r="U387" s="65" t="n"/>
      <c r="V387" s="65" t="n"/>
      <c r="W387" s="65" t="n"/>
      <c r="X387" s="65" t="n"/>
      <c r="Y387" s="65" t="n"/>
      <c r="Z387" s="65" t="n"/>
    </row>
    <row r="388" ht="12.75" customHeight="1" s="85">
      <c r="A388" s="65" t="n"/>
      <c r="B388" s="68" t="n">
        <v>45853</v>
      </c>
      <c r="C388" s="69" t="inlineStr">
        <is>
          <t>USD</t>
        </is>
      </c>
      <c r="D388" s="69" t="n">
        <v>5.5569</v>
      </c>
      <c r="E388" s="69" t="n">
        <v>5.5576</v>
      </c>
      <c r="F388" s="65" t="n"/>
      <c r="G388" s="71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5" t="n"/>
      <c r="X388" s="65" t="n"/>
      <c r="Y388" s="65" t="n"/>
      <c r="Z388" s="65" t="n"/>
    </row>
    <row r="389" ht="12.75" customHeight="1" s="85">
      <c r="A389" s="65" t="n"/>
      <c r="B389" s="68" t="n">
        <v>45854</v>
      </c>
      <c r="C389" s="69" t="inlineStr">
        <is>
          <t>USD</t>
        </is>
      </c>
      <c r="D389" s="69" t="n">
        <v>5.5716</v>
      </c>
      <c r="E389" s="69" t="n">
        <v>5.5722</v>
      </c>
      <c r="F389" s="65" t="n"/>
      <c r="G389" s="71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65" t="n"/>
      <c r="T389" s="65" t="n"/>
      <c r="U389" s="65" t="n"/>
      <c r="V389" s="65" t="n"/>
      <c r="W389" s="65" t="n"/>
      <c r="X389" s="65" t="n"/>
      <c r="Y389" s="65" t="n"/>
      <c r="Z389" s="65" t="n"/>
    </row>
    <row r="390" ht="12.75" customHeight="1" s="85">
      <c r="A390" s="65" t="n"/>
      <c r="B390" s="68" t="n">
        <v>45855</v>
      </c>
      <c r="C390" s="69" t="inlineStr">
        <is>
          <t>USD</t>
        </is>
      </c>
      <c r="D390" s="69" t="n">
        <v>5.5731</v>
      </c>
      <c r="E390" s="69" t="n">
        <v>5.5737</v>
      </c>
      <c r="F390" s="65" t="n"/>
      <c r="G390" s="71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5" t="n"/>
      <c r="X390" s="65" t="n"/>
      <c r="Y390" s="65" t="n"/>
      <c r="Z390" s="65" t="n"/>
    </row>
    <row r="391" ht="12.75" customHeight="1" s="85">
      <c r="A391" s="65" t="n"/>
      <c r="B391" s="68" t="n">
        <v>45856</v>
      </c>
      <c r="C391" s="69" t="inlineStr">
        <is>
          <t>USD</t>
        </is>
      </c>
      <c r="D391" s="69" t="n">
        <v>5.546</v>
      </c>
      <c r="E391" s="69" t="n">
        <v>5.5466</v>
      </c>
      <c r="F391" s="65" t="n"/>
      <c r="G391" s="71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65" t="n"/>
      <c r="T391" s="65" t="n"/>
      <c r="U391" s="65" t="n"/>
      <c r="V391" s="65" t="n"/>
      <c r="W391" s="65" t="n"/>
      <c r="X391" s="65" t="n"/>
      <c r="Y391" s="65" t="n"/>
      <c r="Z391" s="65" t="n"/>
    </row>
    <row r="392" ht="12.75" customHeight="1" s="85">
      <c r="A392" s="65" t="n"/>
      <c r="B392" s="68" t="n">
        <v>45859</v>
      </c>
      <c r="C392" s="69" t="inlineStr">
        <is>
          <t>USD</t>
        </is>
      </c>
      <c r="D392" s="69" t="n">
        <v>5.5619</v>
      </c>
      <c r="E392" s="69" t="n">
        <v>5.5625</v>
      </c>
      <c r="F392" s="65" t="n"/>
      <c r="G392" s="71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5" t="n"/>
      <c r="X392" s="65" t="n"/>
      <c r="Y392" s="65" t="n"/>
      <c r="Z392" s="65" t="n"/>
    </row>
    <row r="393" ht="12.75" customHeight="1" s="85">
      <c r="A393" s="65" t="n"/>
      <c r="B393" s="68" t="n">
        <v>45860</v>
      </c>
      <c r="C393" s="69" t="inlineStr">
        <is>
          <t>USD</t>
        </is>
      </c>
      <c r="D393" s="69" t="n">
        <v>5.5703</v>
      </c>
      <c r="E393" s="69" t="n">
        <v>5.5709</v>
      </c>
      <c r="F393" s="65" t="n"/>
      <c r="G393" s="71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65" t="n"/>
      <c r="R393" s="65" t="n"/>
      <c r="S393" s="65" t="n"/>
      <c r="T393" s="65" t="n"/>
      <c r="U393" s="65" t="n"/>
      <c r="V393" s="65" t="n"/>
      <c r="W393" s="65" t="n"/>
      <c r="X393" s="65" t="n"/>
      <c r="Y393" s="65" t="n"/>
      <c r="Z393" s="65" t="n"/>
    </row>
    <row r="394" ht="12.75" customHeight="1" s="85">
      <c r="A394" s="65" t="n"/>
      <c r="B394" s="68" t="n">
        <v>45861</v>
      </c>
      <c r="C394" s="69" t="inlineStr">
        <is>
          <t>USD</t>
        </is>
      </c>
      <c r="D394" s="69" t="n">
        <v>5.5531</v>
      </c>
      <c r="E394" s="69" t="n">
        <v>5.5537</v>
      </c>
      <c r="F394" s="65" t="n"/>
      <c r="G394" s="71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5" t="n"/>
      <c r="X394" s="65" t="n"/>
      <c r="Y394" s="65" t="n"/>
      <c r="Z394" s="65" t="n"/>
    </row>
    <row r="395" ht="12.75" customHeight="1" s="85">
      <c r="A395" s="65" t="n"/>
      <c r="B395" s="68" t="n">
        <v>45862</v>
      </c>
      <c r="C395" s="69" t="inlineStr">
        <is>
          <t>USD</t>
        </is>
      </c>
      <c r="D395" s="69" t="n">
        <v>5.5233</v>
      </c>
      <c r="E395" s="69" t="n">
        <v>5.5239</v>
      </c>
      <c r="F395" s="65" t="n"/>
      <c r="G395" s="71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65" t="n"/>
      <c r="R395" s="65" t="n"/>
      <c r="S395" s="65" t="n"/>
      <c r="T395" s="65" t="n"/>
      <c r="U395" s="65" t="n"/>
      <c r="V395" s="65" t="n"/>
      <c r="W395" s="65" t="n"/>
      <c r="X395" s="65" t="n"/>
      <c r="Y395" s="65" t="n"/>
      <c r="Z395" s="65" t="n"/>
    </row>
    <row r="396" ht="12.75" customHeight="1" s="85">
      <c r="A396" s="65" t="n"/>
      <c r="B396" s="68" t="n">
        <v>45863</v>
      </c>
      <c r="C396" s="69" t="inlineStr">
        <is>
          <t>USD</t>
        </is>
      </c>
      <c r="D396" s="69" t="n">
        <v>5.542</v>
      </c>
      <c r="E396" s="69" t="n">
        <v>5.5426</v>
      </c>
      <c r="F396" s="65" t="n"/>
      <c r="G396" s="71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5" t="n"/>
      <c r="X396" s="65" t="n"/>
      <c r="Y396" s="65" t="n"/>
      <c r="Z396" s="65" t="n"/>
    </row>
    <row r="397" ht="12.75" customHeight="1" s="85">
      <c r="A397" s="65" t="n"/>
      <c r="B397" s="68" t="n">
        <v>45866</v>
      </c>
      <c r="C397" s="69" t="inlineStr">
        <is>
          <t>USD</t>
        </is>
      </c>
      <c r="D397" s="69" t="n">
        <v>5.5871</v>
      </c>
      <c r="E397" s="69" t="n">
        <v>5.5877</v>
      </c>
      <c r="F397" s="65" t="n"/>
      <c r="G397" s="71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65" t="n"/>
      <c r="R397" s="65" t="n"/>
      <c r="S397" s="65" t="n"/>
      <c r="T397" s="65" t="n"/>
      <c r="U397" s="65" t="n"/>
      <c r="V397" s="65" t="n"/>
      <c r="W397" s="65" t="n"/>
      <c r="X397" s="65" t="n"/>
      <c r="Y397" s="65" t="n"/>
      <c r="Z397" s="65" t="n"/>
    </row>
    <row r="398" ht="12.75" customHeight="1" s="85">
      <c r="A398" s="65" t="n"/>
      <c r="B398" s="68" t="n">
        <v>45867</v>
      </c>
      <c r="C398" s="69" t="inlineStr">
        <is>
          <t>USD</t>
        </is>
      </c>
      <c r="D398" s="69" t="n">
        <v>5.5758</v>
      </c>
      <c r="E398" s="69" t="n">
        <v>5.5764</v>
      </c>
      <c r="F398" s="65" t="n"/>
      <c r="G398" s="71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5" t="n"/>
      <c r="X398" s="65" t="n"/>
      <c r="Y398" s="65" t="n"/>
      <c r="Z398" s="65" t="n"/>
    </row>
    <row r="399" ht="12.75" customHeight="1" s="85">
      <c r="A399" s="65" t="n"/>
      <c r="B399" s="68" t="n">
        <v>45868</v>
      </c>
      <c r="C399" s="69" t="inlineStr">
        <is>
          <t>USD</t>
        </is>
      </c>
      <c r="D399" s="69" t="n">
        <v>5.6028</v>
      </c>
      <c r="E399" s="69" t="n">
        <v>5.6034</v>
      </c>
      <c r="F399" s="65" t="n"/>
      <c r="G399" s="71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65" t="n"/>
      <c r="R399" s="65" t="n"/>
      <c r="S399" s="65" t="n"/>
      <c r="T399" s="65" t="n"/>
      <c r="U399" s="65" t="n"/>
      <c r="V399" s="65" t="n"/>
      <c r="W399" s="65" t="n"/>
      <c r="X399" s="65" t="n"/>
      <c r="Y399" s="65" t="n"/>
      <c r="Z399" s="65" t="n"/>
    </row>
    <row r="400" ht="12.75" customHeight="1" s="85">
      <c r="A400" s="65" t="n"/>
      <c r="B400" s="68" t="n">
        <v>45869</v>
      </c>
      <c r="C400" s="69" t="inlineStr">
        <is>
          <t>USD</t>
        </is>
      </c>
      <c r="D400" s="69" t="n">
        <v>5.6015</v>
      </c>
      <c r="E400" s="69" t="n">
        <v>5.6021</v>
      </c>
      <c r="F400" s="65" t="n"/>
      <c r="G400" s="71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5" t="n"/>
      <c r="X400" s="65" t="n"/>
      <c r="Y400" s="65" t="n"/>
      <c r="Z400" s="65" t="n"/>
    </row>
    <row r="401" ht="12.75" customHeight="1" s="85">
      <c r="A401" s="65" t="n"/>
      <c r="B401" s="68" t="n">
        <v>45870</v>
      </c>
      <c r="C401" s="69" t="inlineStr">
        <is>
          <t>USD</t>
        </is>
      </c>
      <c r="D401" s="69" t="n">
        <v>5.543</v>
      </c>
      <c r="E401" s="69" t="n">
        <v>5.5436</v>
      </c>
      <c r="F401" s="65" t="n"/>
      <c r="G401" s="71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65" t="n"/>
      <c r="R401" s="65" t="n"/>
      <c r="S401" s="65" t="n"/>
      <c r="T401" s="65" t="n"/>
      <c r="U401" s="65" t="n"/>
      <c r="V401" s="65" t="n"/>
      <c r="W401" s="65" t="n"/>
      <c r="X401" s="65" t="n"/>
      <c r="Y401" s="65" t="n"/>
      <c r="Z401" s="65" t="n"/>
    </row>
    <row r="402" ht="12.75" customHeight="1" s="85">
      <c r="A402" s="65" t="n"/>
      <c r="B402" s="68" t="n">
        <v>45873</v>
      </c>
      <c r="C402" s="69" t="inlineStr">
        <is>
          <t>USD</t>
        </is>
      </c>
      <c r="D402" s="69" t="n">
        <v>5.5107</v>
      </c>
      <c r="E402" s="69" t="n">
        <v>5.5113</v>
      </c>
      <c r="F402" s="65" t="n"/>
      <c r="G402" s="71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5" t="n"/>
      <c r="X402" s="65" t="n"/>
      <c r="Y402" s="65" t="n"/>
      <c r="Z402" s="65" t="n"/>
    </row>
    <row r="403" ht="12.75" customHeight="1" s="85">
      <c r="A403" s="65" t="n"/>
      <c r="B403" s="68" t="n">
        <v>45874</v>
      </c>
      <c r="C403" s="69" t="inlineStr">
        <is>
          <t>USD</t>
        </is>
      </c>
      <c r="D403" s="69" t="n">
        <v>5.5113</v>
      </c>
      <c r="E403" s="69" t="n">
        <v>5.5119</v>
      </c>
      <c r="F403" s="65" t="n"/>
      <c r="G403" s="71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65" t="n"/>
      <c r="R403" s="65" t="n"/>
      <c r="S403" s="65" t="n"/>
      <c r="T403" s="65" t="n"/>
      <c r="U403" s="65" t="n"/>
      <c r="V403" s="65" t="n"/>
      <c r="W403" s="65" t="n"/>
      <c r="X403" s="65" t="n"/>
      <c r="Y403" s="65" t="n"/>
      <c r="Z403" s="65" t="n"/>
    </row>
    <row r="404" ht="12.75" customHeight="1" s="85">
      <c r="A404" s="65" t="n"/>
      <c r="B404" s="68" t="n">
        <v>45875</v>
      </c>
      <c r="C404" s="69" t="inlineStr">
        <is>
          <t>USD</t>
        </is>
      </c>
      <c r="D404" s="69" t="n">
        <v>5.4796</v>
      </c>
      <c r="E404" s="69" t="n">
        <v>5.4802</v>
      </c>
      <c r="F404" s="65" t="n"/>
      <c r="G404" s="71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5" t="n"/>
      <c r="X404" s="65" t="n"/>
      <c r="Y404" s="65" t="n"/>
      <c r="Z404" s="65" t="n"/>
    </row>
    <row r="405" ht="12.75" customHeight="1" s="85">
      <c r="A405" s="65" t="n"/>
      <c r="B405" s="68" t="n">
        <v>45876</v>
      </c>
      <c r="C405" s="69" t="inlineStr">
        <is>
          <t>USD</t>
        </is>
      </c>
      <c r="D405" s="69" t="n">
        <v>5.4632</v>
      </c>
      <c r="E405" s="69" t="n">
        <v>5.4638</v>
      </c>
      <c r="F405" s="65" t="n"/>
      <c r="G405" s="71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65" t="n"/>
      <c r="R405" s="65" t="n"/>
      <c r="S405" s="65" t="n"/>
      <c r="T405" s="65" t="n"/>
      <c r="U405" s="65" t="n"/>
      <c r="V405" s="65" t="n"/>
      <c r="W405" s="65" t="n"/>
      <c r="X405" s="65" t="n"/>
      <c r="Y405" s="65" t="n"/>
      <c r="Z405" s="65" t="n"/>
    </row>
    <row r="406" ht="12.75" customHeight="1" s="85">
      <c r="A406" s="65" t="n"/>
      <c r="B406" s="68" t="n">
        <v>45877</v>
      </c>
      <c r="C406" s="69" t="inlineStr">
        <is>
          <t>USD</t>
        </is>
      </c>
      <c r="D406" s="69" t="n">
        <v>5.4248</v>
      </c>
      <c r="E406" s="69" t="n">
        <v>5.4254</v>
      </c>
      <c r="F406" s="65" t="n"/>
      <c r="G406" s="71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5" t="n"/>
      <c r="X406" s="65" t="n"/>
      <c r="Y406" s="65" t="n"/>
      <c r="Z406" s="65" t="n"/>
    </row>
    <row r="407" ht="12.75" customHeight="1" s="85">
      <c r="A407" s="65" t="n"/>
      <c r="B407" s="68" t="n">
        <v>45880</v>
      </c>
      <c r="C407" s="69" t="inlineStr">
        <is>
          <t>USD</t>
        </is>
      </c>
      <c r="D407" s="69" t="n">
        <v>5.4467</v>
      </c>
      <c r="E407" s="69" t="n">
        <v>5.4473</v>
      </c>
      <c r="F407" s="65" t="n"/>
      <c r="G407" s="71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65" t="n"/>
      <c r="R407" s="65" t="n"/>
      <c r="S407" s="65" t="n"/>
      <c r="T407" s="65" t="n"/>
      <c r="U407" s="65" t="n"/>
      <c r="V407" s="65" t="n"/>
      <c r="W407" s="65" t="n"/>
      <c r="X407" s="65" t="n"/>
      <c r="Y407" s="65" t="n"/>
      <c r="Z407" s="65" t="n"/>
    </row>
    <row r="408" ht="12.75" customHeight="1" s="85">
      <c r="A408" s="65" t="n"/>
      <c r="B408" s="68" t="n">
        <v>45881</v>
      </c>
      <c r="C408" s="69" t="inlineStr">
        <is>
          <t>USD</t>
        </is>
      </c>
      <c r="D408" s="69" t="n">
        <v>5.4046</v>
      </c>
      <c r="E408" s="69" t="n">
        <v>5.4052</v>
      </c>
      <c r="F408" s="65" t="n"/>
      <c r="G408" s="71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5" t="n"/>
      <c r="X408" s="65" t="n"/>
      <c r="Y408" s="65" t="n"/>
      <c r="Z408" s="65" t="n"/>
    </row>
    <row r="409" ht="12.75" customHeight="1" s="85">
      <c r="A409" s="65" t="n"/>
      <c r="B409" s="68" t="n">
        <v>45882</v>
      </c>
      <c r="C409" s="69" t="inlineStr">
        <is>
          <t>USD</t>
        </is>
      </c>
      <c r="D409" s="69" t="n">
        <v>5.3922</v>
      </c>
      <c r="E409" s="69" t="n">
        <v>5.3928</v>
      </c>
      <c r="F409" s="65" t="n"/>
      <c r="G409" s="71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65" t="n"/>
      <c r="R409" s="65" t="n"/>
      <c r="S409" s="65" t="n"/>
      <c r="T409" s="65" t="n"/>
      <c r="U409" s="65" t="n"/>
      <c r="V409" s="65" t="n"/>
      <c r="W409" s="65" t="n"/>
      <c r="X409" s="65" t="n"/>
      <c r="Y409" s="65" t="n"/>
      <c r="Z409" s="65" t="n"/>
    </row>
    <row r="410" ht="12.75" customHeight="1" s="85">
      <c r="A410" s="65" t="n"/>
      <c r="B410" s="68" t="n">
        <v>45883</v>
      </c>
      <c r="C410" s="69" t="inlineStr">
        <is>
          <t>USD</t>
        </is>
      </c>
      <c r="D410" s="69" t="n">
        <v>5.4089</v>
      </c>
      <c r="E410" s="69" t="n">
        <v>5.4095</v>
      </c>
      <c r="F410" s="65" t="n"/>
      <c r="G410" s="71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5" t="n"/>
      <c r="X410" s="65" t="n"/>
      <c r="Y410" s="65" t="n"/>
      <c r="Z410" s="65" t="n"/>
    </row>
    <row r="411" ht="12.75" customHeight="1" s="85">
      <c r="A411" s="65" t="n"/>
      <c r="B411" s="68" t="n">
        <v>45884</v>
      </c>
      <c r="C411" s="69" t="inlineStr">
        <is>
          <t>USD</t>
        </is>
      </c>
      <c r="D411" s="69" t="n">
        <v>5.3922</v>
      </c>
      <c r="E411" s="69" t="n">
        <v>5.3928</v>
      </c>
      <c r="F411" s="65" t="n"/>
      <c r="G411" s="71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65" t="n"/>
      <c r="R411" s="65" t="n"/>
      <c r="S411" s="65" t="n"/>
      <c r="T411" s="65" t="n"/>
      <c r="U411" s="65" t="n"/>
      <c r="V411" s="65" t="n"/>
      <c r="W411" s="65" t="n"/>
      <c r="X411" s="65" t="n"/>
      <c r="Y411" s="65" t="n"/>
      <c r="Z411" s="65" t="n"/>
    </row>
    <row r="412" ht="12.75" customHeight="1" s="85">
      <c r="A412" s="65" t="n"/>
      <c r="B412" s="68" t="n">
        <v>45887</v>
      </c>
      <c r="C412" s="69" t="inlineStr">
        <is>
          <t>USD</t>
        </is>
      </c>
      <c r="D412" s="69" t="n">
        <v>5.4149</v>
      </c>
      <c r="E412" s="69" t="n">
        <v>5.4155</v>
      </c>
      <c r="F412" s="65" t="n"/>
      <c r="G412" s="71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5" t="n"/>
      <c r="X412" s="65" t="n"/>
      <c r="Y412" s="65" t="n"/>
      <c r="Z412" s="65" t="n"/>
    </row>
    <row r="413" ht="12.75" customHeight="1" s="85">
      <c r="A413" s="65" t="n"/>
      <c r="B413" s="68" t="n">
        <v>45888</v>
      </c>
      <c r="C413" s="69" t="inlineStr">
        <is>
          <t>USD</t>
        </is>
      </c>
      <c r="D413" s="69" t="n">
        <v>5.471</v>
      </c>
      <c r="E413" s="69" t="n">
        <v>5.4716</v>
      </c>
      <c r="F413" s="65" t="n"/>
      <c r="G413" s="71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65" t="n"/>
      <c r="R413" s="65" t="n"/>
      <c r="S413" s="65" t="n"/>
      <c r="T413" s="65" t="n"/>
      <c r="U413" s="65" t="n"/>
      <c r="V413" s="65" t="n"/>
      <c r="W413" s="65" t="n"/>
      <c r="X413" s="65" t="n"/>
      <c r="Y413" s="65" t="n"/>
      <c r="Z413" s="65" t="n"/>
    </row>
    <row r="414" ht="12.75" customHeight="1" s="85">
      <c r="A414" s="65" t="n"/>
      <c r="B414" s="68" t="n">
        <v>45889</v>
      </c>
      <c r="C414" s="69" t="inlineStr">
        <is>
          <t>USD</t>
        </is>
      </c>
      <c r="D414" s="69" t="n">
        <v>5.472</v>
      </c>
      <c r="E414" s="69" t="n">
        <v>5.4726</v>
      </c>
      <c r="F414" s="65" t="n"/>
      <c r="G414" s="71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5" t="n"/>
      <c r="X414" s="65" t="n"/>
      <c r="Y414" s="65" t="n"/>
      <c r="Z414" s="65" t="n"/>
    </row>
    <row r="415" ht="12.75" customHeight="1" s="85">
      <c r="A415" s="65" t="n"/>
      <c r="B415" s="68" t="n">
        <v>45890</v>
      </c>
      <c r="C415" s="69" t="inlineStr">
        <is>
          <t>USD</t>
        </is>
      </c>
      <c r="D415" s="69" t="n">
        <v>5.4822</v>
      </c>
      <c r="E415" s="69" t="n">
        <v>5.4828</v>
      </c>
      <c r="F415" s="65" t="n"/>
      <c r="G415" s="71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65" t="n"/>
      <c r="R415" s="65" t="n"/>
      <c r="S415" s="65" t="n"/>
      <c r="T415" s="65" t="n"/>
      <c r="U415" s="65" t="n"/>
      <c r="V415" s="65" t="n"/>
      <c r="W415" s="65" t="n"/>
      <c r="X415" s="65" t="n"/>
      <c r="Y415" s="65" t="n"/>
      <c r="Z415" s="65" t="n"/>
    </row>
    <row r="416" ht="12.75" customHeight="1" s="85">
      <c r="A416" s="65" t="n"/>
      <c r="B416" s="68" t="n">
        <v>45891</v>
      </c>
      <c r="C416" s="69" t="inlineStr">
        <is>
          <t>USD</t>
        </is>
      </c>
      <c r="D416" s="69" t="n">
        <v>5.4386</v>
      </c>
      <c r="E416" s="69" t="n">
        <v>5.4392</v>
      </c>
      <c r="F416" s="65" t="n"/>
      <c r="G416" s="71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5" t="n"/>
      <c r="X416" s="65" t="n"/>
      <c r="Y416" s="65" t="n"/>
      <c r="Z416" s="65" t="n"/>
    </row>
    <row r="417" ht="12.75" customHeight="1" s="85">
      <c r="A417" s="65" t="n"/>
      <c r="B417" s="68" t="n">
        <v>45894</v>
      </c>
      <c r="C417" s="69" t="inlineStr">
        <is>
          <t>USD</t>
        </is>
      </c>
      <c r="D417" s="69" t="n">
        <v>5.4168</v>
      </c>
      <c r="E417" s="69" t="n">
        <v>5.4174</v>
      </c>
      <c r="F417" s="65" t="n"/>
      <c r="G417" s="71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65" t="n"/>
      <c r="R417" s="65" t="n"/>
      <c r="S417" s="65" t="n"/>
      <c r="T417" s="65" t="n"/>
      <c r="U417" s="65" t="n"/>
      <c r="V417" s="65" t="n"/>
      <c r="W417" s="65" t="n"/>
      <c r="X417" s="65" t="n"/>
      <c r="Y417" s="65" t="n"/>
      <c r="Z417" s="65" t="n"/>
    </row>
    <row r="418" ht="12.75" customHeight="1" s="85">
      <c r="A418" s="65" t="n"/>
      <c r="B418" s="68" t="n">
        <v>45895</v>
      </c>
      <c r="C418" s="69" t="inlineStr">
        <is>
          <t>USD</t>
        </is>
      </c>
      <c r="D418" s="69" t="n">
        <v>5.4212</v>
      </c>
      <c r="E418" s="69" t="n">
        <v>5.4218</v>
      </c>
      <c r="F418" s="65" t="n"/>
      <c r="G418" s="71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5" t="n"/>
      <c r="X418" s="65" t="n"/>
      <c r="Y418" s="65" t="n"/>
      <c r="Z418" s="65" t="n"/>
    </row>
    <row r="419" ht="12.75" customHeight="1" s="85">
      <c r="A419" s="65" t="n"/>
      <c r="B419" s="68" t="n">
        <v>45896</v>
      </c>
      <c r="C419" s="69" t="inlineStr">
        <is>
          <t>USD</t>
        </is>
      </c>
      <c r="D419" s="69" t="n">
        <v>5.4422</v>
      </c>
      <c r="E419" s="69" t="n">
        <v>5.4428</v>
      </c>
      <c r="F419" s="65" t="n"/>
      <c r="G419" s="71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65" t="n"/>
      <c r="R419" s="65" t="n"/>
      <c r="S419" s="65" t="n"/>
      <c r="T419" s="65" t="n"/>
      <c r="U419" s="65" t="n"/>
      <c r="V419" s="65" t="n"/>
      <c r="W419" s="65" t="n"/>
      <c r="X419" s="65" t="n"/>
      <c r="Y419" s="65" t="n"/>
      <c r="Z419" s="65" t="n"/>
    </row>
    <row r="420" ht="12.75" customHeight="1" s="85">
      <c r="A420" s="65" t="n"/>
      <c r="B420" s="68" t="n">
        <v>45897</v>
      </c>
      <c r="C420" s="69" t="inlineStr">
        <is>
          <t>USD</t>
        </is>
      </c>
      <c r="D420" s="69" t="n">
        <v>5.4109</v>
      </c>
      <c r="E420" s="69" t="n">
        <v>5.4115</v>
      </c>
      <c r="F420" s="65" t="n"/>
      <c r="G420" s="71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5" t="n"/>
      <c r="X420" s="65" t="n"/>
      <c r="Y420" s="65" t="n"/>
      <c r="Z420" s="65" t="n"/>
    </row>
    <row r="421" ht="12.75" customHeight="1" s="85">
      <c r="A421" s="65" t="n"/>
      <c r="B421" s="68" t="n">
        <v>45898</v>
      </c>
      <c r="C421" s="69" t="inlineStr">
        <is>
          <t>USD</t>
        </is>
      </c>
      <c r="D421" s="69" t="n">
        <v>5.4258</v>
      </c>
      <c r="E421" s="69" t="n">
        <v>5.4264</v>
      </c>
      <c r="F421" s="65" t="n"/>
      <c r="G421" s="71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 t="n"/>
      <c r="S421" s="65" t="n"/>
      <c r="T421" s="65" t="n"/>
      <c r="U421" s="65" t="n"/>
      <c r="V421" s="65" t="n"/>
      <c r="W421" s="65" t="n"/>
      <c r="X421" s="65" t="n"/>
      <c r="Y421" s="65" t="n"/>
      <c r="Z421" s="65" t="n"/>
    </row>
    <row r="422" ht="12.75" customHeight="1" s="85">
      <c r="A422" s="65" t="n"/>
      <c r="B422" s="68" t="n">
        <v>45901</v>
      </c>
      <c r="C422" s="69" t="inlineStr">
        <is>
          <t>USD</t>
        </is>
      </c>
      <c r="D422" s="69" t="n">
        <v>5.4372</v>
      </c>
      <c r="E422" s="69" t="n">
        <v>5.4378</v>
      </c>
      <c r="F422" s="65" t="n"/>
      <c r="G422" s="71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5" t="n"/>
      <c r="X422" s="65" t="n"/>
      <c r="Y422" s="65" t="n"/>
      <c r="Z422" s="65" t="n"/>
    </row>
    <row r="423" ht="12.75" customHeight="1" s="85">
      <c r="A423" s="65" t="n"/>
      <c r="B423" s="68" t="n">
        <v>45902</v>
      </c>
      <c r="C423" s="69" t="inlineStr">
        <is>
          <t>USD</t>
        </is>
      </c>
      <c r="D423" s="69" t="n">
        <v>5.4674</v>
      </c>
      <c r="E423" s="69" t="n">
        <v>5.468</v>
      </c>
      <c r="F423" s="65" t="n"/>
      <c r="G423" s="71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 t="n"/>
      <c r="S423" s="65" t="n"/>
      <c r="T423" s="65" t="n"/>
      <c r="U423" s="65" t="n"/>
      <c r="V423" s="65" t="n"/>
      <c r="W423" s="65" t="n"/>
      <c r="X423" s="65" t="n"/>
      <c r="Y423" s="65" t="n"/>
      <c r="Z423" s="65" t="n"/>
    </row>
    <row r="424" ht="12.75" customHeight="1" s="85">
      <c r="A424" s="65" t="n"/>
      <c r="B424" s="68" t="n">
        <v>45903</v>
      </c>
      <c r="C424" s="69" t="inlineStr">
        <is>
          <t>USD</t>
        </is>
      </c>
      <c r="D424" s="69" t="n">
        <v>5.4479</v>
      </c>
      <c r="E424" s="69" t="n">
        <v>5.4485</v>
      </c>
      <c r="F424" s="65" t="n"/>
      <c r="G424" s="71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5" t="n"/>
      <c r="X424" s="65" t="n"/>
      <c r="Y424" s="65" t="n"/>
      <c r="Z424" s="65" t="n"/>
    </row>
    <row r="425" ht="12.75" customHeight="1" s="85">
      <c r="A425" s="65" t="n"/>
      <c r="B425" s="68" t="n">
        <v>45904</v>
      </c>
      <c r="C425" s="69" t="inlineStr">
        <is>
          <t>USD</t>
        </is>
      </c>
      <c r="D425" s="69" t="n">
        <v>5.4581</v>
      </c>
      <c r="E425" s="69" t="n">
        <v>5.4587</v>
      </c>
      <c r="F425" s="65" t="n"/>
      <c r="G425" s="71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 t="n"/>
      <c r="S425" s="65" t="n"/>
      <c r="T425" s="65" t="n"/>
      <c r="U425" s="65" t="n"/>
      <c r="V425" s="65" t="n"/>
      <c r="W425" s="65" t="n"/>
      <c r="X425" s="65" t="n"/>
      <c r="Y425" s="65" t="n"/>
      <c r="Z425" s="65" t="n"/>
    </row>
    <row r="426" ht="12.75" customHeight="1" s="85">
      <c r="A426" s="65" t="n"/>
      <c r="B426" s="68" t="n">
        <v>45905</v>
      </c>
      <c r="C426" s="69" t="inlineStr">
        <is>
          <t>USD</t>
        </is>
      </c>
      <c r="D426" s="69" t="n">
        <v>5.3962</v>
      </c>
      <c r="E426" s="69" t="n">
        <v>5.3968</v>
      </c>
      <c r="F426" s="65" t="n"/>
      <c r="G426" s="71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5" t="n"/>
      <c r="X426" s="65" t="n"/>
      <c r="Y426" s="65" t="n"/>
      <c r="Z426" s="65" t="n"/>
    </row>
    <row r="427" ht="12.75" customHeight="1" s="85">
      <c r="A427" s="65" t="n"/>
      <c r="B427" s="68" t="n">
        <v>45908</v>
      </c>
      <c r="C427" s="69" t="inlineStr">
        <is>
          <t>USD</t>
        </is>
      </c>
      <c r="D427" s="69" t="n">
        <v>5.4272</v>
      </c>
      <c r="E427" s="69" t="n">
        <v>5.4278</v>
      </c>
      <c r="F427" s="65" t="n"/>
      <c r="G427" s="71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 t="n"/>
      <c r="S427" s="65" t="n"/>
      <c r="T427" s="65" t="n"/>
      <c r="U427" s="65" t="n"/>
      <c r="V427" s="65" t="n"/>
      <c r="W427" s="65" t="n"/>
      <c r="X427" s="65" t="n"/>
      <c r="Y427" s="65" t="n"/>
      <c r="Z427" s="65" t="n"/>
    </row>
    <row r="428" ht="12.75" customHeight="1" s="85">
      <c r="A428" s="65" t="n"/>
      <c r="B428" s="68" t="n">
        <v>45909</v>
      </c>
      <c r="C428" s="69" t="inlineStr">
        <is>
          <t>USD</t>
        </is>
      </c>
      <c r="D428" s="69" t="n">
        <v>5.4272</v>
      </c>
      <c r="E428" s="69" t="n">
        <v>5.4278</v>
      </c>
      <c r="F428" s="65" t="n"/>
      <c r="G428" s="71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5" t="n"/>
      <c r="X428" s="65" t="n"/>
      <c r="Y428" s="65" t="n"/>
      <c r="Z428" s="65" t="n"/>
    </row>
    <row r="429" ht="12.75" customHeight="1" s="85">
      <c r="A429" s="65" t="n"/>
      <c r="B429" s="68" t="n">
        <v>45910</v>
      </c>
      <c r="C429" s="69" t="inlineStr">
        <is>
          <t>USD</t>
        </is>
      </c>
      <c r="D429" s="69" t="n">
        <v>5.4117</v>
      </c>
      <c r="E429" s="69" t="n">
        <v>5.4123</v>
      </c>
      <c r="F429" s="65" t="n"/>
      <c r="G429" s="71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 t="n"/>
      <c r="S429" s="65" t="n"/>
      <c r="T429" s="65" t="n"/>
      <c r="U429" s="65" t="n"/>
      <c r="V429" s="65" t="n"/>
      <c r="W429" s="65" t="n"/>
      <c r="X429" s="65" t="n"/>
      <c r="Y429" s="65" t="n"/>
      <c r="Z429" s="65" t="n"/>
    </row>
    <row r="430" ht="12.75" customHeight="1" s="85">
      <c r="A430" s="65" t="n"/>
      <c r="B430" s="68" t="n">
        <v>45911</v>
      </c>
      <c r="C430" s="69" t="inlineStr">
        <is>
          <t>USD</t>
        </is>
      </c>
      <c r="D430" s="69" t="n">
        <v>5.3852</v>
      </c>
      <c r="E430" s="69" t="n">
        <v>5.3858</v>
      </c>
      <c r="F430" s="65" t="n"/>
      <c r="G430" s="71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5" t="n"/>
      <c r="X430" s="65" t="n"/>
      <c r="Y430" s="65" t="n"/>
      <c r="Z430" s="65" t="n"/>
    </row>
    <row r="431" ht="12.75" customHeight="1" s="85">
      <c r="A431" s="65" t="n"/>
      <c r="B431" s="68" t="n">
        <v>45912</v>
      </c>
      <c r="C431" s="69" t="inlineStr">
        <is>
          <t>USD</t>
        </is>
      </c>
      <c r="D431" s="69" t="n">
        <v>5.3671</v>
      </c>
      <c r="E431" s="69" t="n">
        <v>5.3677</v>
      </c>
      <c r="F431" s="65" t="n"/>
      <c r="G431" s="71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65" t="n"/>
      <c r="T431" s="65" t="n"/>
      <c r="U431" s="65" t="n"/>
      <c r="V431" s="65" t="n"/>
      <c r="W431" s="65" t="n"/>
      <c r="X431" s="65" t="n"/>
      <c r="Y431" s="65" t="n"/>
      <c r="Z431" s="65" t="n"/>
    </row>
    <row r="432" ht="12.75" customHeight="1" s="85">
      <c r="A432" s="65" t="n"/>
      <c r="B432" s="68" t="n">
        <v>45915</v>
      </c>
      <c r="C432" s="69" t="inlineStr">
        <is>
          <t>USD</t>
        </is>
      </c>
      <c r="D432" s="69" t="n">
        <v>5.3202</v>
      </c>
      <c r="E432" s="69" t="n">
        <v>5.3208</v>
      </c>
      <c r="F432" s="65" t="n"/>
      <c r="G432" s="71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5" t="n"/>
      <c r="X432" s="65" t="n"/>
      <c r="Y432" s="65" t="n"/>
      <c r="Z432" s="65" t="n"/>
    </row>
    <row r="433" ht="12.75" customHeight="1" s="85">
      <c r="A433" s="65" t="n"/>
      <c r="B433" s="68" t="n">
        <v>45916</v>
      </c>
      <c r="C433" s="69" t="inlineStr">
        <is>
          <t>USD</t>
        </is>
      </c>
      <c r="D433" s="69" t="n">
        <v>5.309</v>
      </c>
      <c r="E433" s="69" t="n">
        <v>5.3096</v>
      </c>
      <c r="F433" s="65" t="n"/>
      <c r="G433" s="71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65" t="n"/>
      <c r="T433" s="65" t="n"/>
      <c r="U433" s="65" t="n"/>
      <c r="V433" s="65" t="n"/>
      <c r="W433" s="65" t="n"/>
      <c r="X433" s="65" t="n"/>
      <c r="Y433" s="65" t="n"/>
      <c r="Z433" s="65" t="n"/>
    </row>
    <row r="434" ht="12.75" customHeight="1" s="85">
      <c r="A434" s="65" t="n"/>
      <c r="B434" s="68" t="n">
        <v>45917</v>
      </c>
      <c r="C434" s="69" t="inlineStr">
        <is>
          <t>USD</t>
        </is>
      </c>
      <c r="D434" s="69" t="n">
        <v>5.3005</v>
      </c>
      <c r="E434" s="69" t="n">
        <v>5.3011</v>
      </c>
      <c r="F434" s="65" t="n"/>
      <c r="G434" s="71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5" t="n"/>
      <c r="X434" s="65" t="n"/>
      <c r="Y434" s="65" t="n"/>
      <c r="Z434" s="65" t="n"/>
    </row>
    <row r="435" ht="12.75" customHeight="1" s="85">
      <c r="A435" s="65" t="n"/>
      <c r="B435" s="68" t="n">
        <v>45918</v>
      </c>
      <c r="C435" s="69" t="inlineStr">
        <is>
          <t>USD</t>
        </is>
      </c>
      <c r="D435" s="69" t="n">
        <v>5.3004</v>
      </c>
      <c r="E435" s="69" t="n">
        <v>5.301</v>
      </c>
      <c r="F435" s="65" t="n"/>
      <c r="G435" s="71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65" t="n"/>
      <c r="R435" s="65" t="n"/>
      <c r="S435" s="65" t="n"/>
      <c r="T435" s="65" t="n"/>
      <c r="U435" s="65" t="n"/>
      <c r="V435" s="65" t="n"/>
      <c r="W435" s="65" t="n"/>
      <c r="X435" s="65" t="n"/>
      <c r="Y435" s="65" t="n"/>
      <c r="Z435" s="65" t="n"/>
    </row>
    <row r="436" ht="12.75" customHeight="1" s="85">
      <c r="A436" s="65" t="n"/>
      <c r="B436" s="68" t="n">
        <v>45919</v>
      </c>
      <c r="C436" s="69" t="inlineStr">
        <is>
          <t>USD</t>
        </is>
      </c>
      <c r="D436" s="69" t="n">
        <v>5.327</v>
      </c>
      <c r="E436" s="69" t="n">
        <v>5.3276</v>
      </c>
      <c r="F436" s="65" t="n"/>
      <c r="G436" s="71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5" t="n"/>
      <c r="X436" s="65" t="n"/>
      <c r="Y436" s="65" t="n"/>
      <c r="Z436" s="65" t="n"/>
    </row>
    <row r="437" ht="12.75" customHeight="1" s="85">
      <c r="A437" s="65" t="n"/>
      <c r="B437" s="68" t="n">
        <v>45922</v>
      </c>
      <c r="C437" s="69" t="inlineStr">
        <is>
          <t>USD</t>
        </is>
      </c>
      <c r="D437" s="69" t="n">
        <v>5.3451</v>
      </c>
      <c r="E437" s="69" t="n">
        <v>5.3457</v>
      </c>
      <c r="F437" s="65" t="n"/>
      <c r="G437" s="71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65" t="n"/>
      <c r="R437" s="65" t="n"/>
      <c r="S437" s="65" t="n"/>
      <c r="T437" s="65" t="n"/>
      <c r="U437" s="65" t="n"/>
      <c r="V437" s="65" t="n"/>
      <c r="W437" s="65" t="n"/>
      <c r="X437" s="65" t="n"/>
      <c r="Y437" s="65" t="n"/>
      <c r="Z437" s="65" t="n"/>
    </row>
    <row r="438" ht="12.75" customHeight="1" s="85">
      <c r="A438" s="65" t="n"/>
      <c r="B438" s="68" t="n">
        <v>45923</v>
      </c>
      <c r="C438" s="69" t="inlineStr">
        <is>
          <t>USD</t>
        </is>
      </c>
      <c r="D438" s="69" t="n">
        <v>5.3057</v>
      </c>
      <c r="E438" s="69" t="n">
        <v>5.3063</v>
      </c>
      <c r="F438" s="65" t="n"/>
      <c r="G438" s="71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5" t="n"/>
      <c r="X438" s="65" t="n"/>
      <c r="Y438" s="65" t="n"/>
      <c r="Z438" s="65" t="n"/>
    </row>
    <row r="439" ht="12.75" customHeight="1" s="85">
      <c r="A439" s="65" t="n"/>
      <c r="B439" s="68" t="n">
        <v>45924</v>
      </c>
      <c r="C439" s="69" t="inlineStr">
        <is>
          <t>USD</t>
        </is>
      </c>
      <c r="D439" s="69" t="n">
        <v>5.3106</v>
      </c>
      <c r="E439" s="69" t="n">
        <v>5.3112</v>
      </c>
      <c r="F439" s="65" t="n"/>
      <c r="G439" s="71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65" t="n"/>
      <c r="R439" s="65" t="n"/>
      <c r="S439" s="65" t="n"/>
      <c r="T439" s="65" t="n"/>
      <c r="U439" s="65" t="n"/>
      <c r="V439" s="65" t="n"/>
      <c r="W439" s="65" t="n"/>
      <c r="X439" s="65" t="n"/>
      <c r="Y439" s="65" t="n"/>
      <c r="Z439" s="65" t="n"/>
    </row>
    <row r="440" ht="12.75" customHeight="1" s="85">
      <c r="A440" s="65" t="n"/>
      <c r="B440" s="68" t="n">
        <v>45925</v>
      </c>
      <c r="C440" s="69" t="inlineStr">
        <is>
          <t>USD</t>
        </is>
      </c>
      <c r="D440" s="69" t="n">
        <v>5.3419</v>
      </c>
      <c r="E440" s="69" t="n">
        <v>5.3425</v>
      </c>
      <c r="F440" s="65" t="n"/>
      <c r="G440" s="71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5" t="n"/>
      <c r="X440" s="65" t="n"/>
      <c r="Y440" s="65" t="n"/>
      <c r="Z440" s="65" t="n"/>
    </row>
    <row r="441" ht="12.75" customHeight="1" s="85">
      <c r="A441" s="65" t="n"/>
      <c r="B441" s="68" t="n">
        <v>45926</v>
      </c>
      <c r="C441" s="69" t="inlineStr">
        <is>
          <t>USD</t>
        </is>
      </c>
      <c r="D441" s="69" t="n">
        <v>5.3439</v>
      </c>
      <c r="E441" s="69" t="n">
        <v>5.3445</v>
      </c>
      <c r="F441" s="65" t="n"/>
      <c r="G441" s="71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65" t="n"/>
      <c r="R441" s="65" t="n"/>
      <c r="S441" s="65" t="n"/>
      <c r="T441" s="65" t="n"/>
      <c r="U441" s="65" t="n"/>
      <c r="V441" s="65" t="n"/>
      <c r="W441" s="65" t="n"/>
      <c r="X441" s="65" t="n"/>
      <c r="Y441" s="65" t="n"/>
      <c r="Z441" s="65" t="n"/>
    </row>
    <row r="442" ht="12.75" customHeight="1" s="85">
      <c r="A442" s="65" t="n"/>
      <c r="B442" s="68" t="n">
        <v>45929</v>
      </c>
      <c r="C442" s="69" t="inlineStr">
        <is>
          <t>USD</t>
        </is>
      </c>
      <c r="D442" s="69" t="n">
        <v>5.3223</v>
      </c>
      <c r="E442" s="69" t="n">
        <v>5.3229</v>
      </c>
      <c r="F442" s="65" t="n"/>
      <c r="G442" s="71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5" t="n"/>
      <c r="X442" s="65" t="n"/>
      <c r="Y442" s="65" t="n"/>
      <c r="Z442" s="65" t="n"/>
    </row>
    <row r="443" ht="12.75" customHeight="1" s="85">
      <c r="A443" s="65" t="n"/>
      <c r="B443" s="68" t="n">
        <v>45930</v>
      </c>
      <c r="C443" s="69" t="inlineStr">
        <is>
          <t>USD</t>
        </is>
      </c>
      <c r="D443" s="69" t="n">
        <v>5.318</v>
      </c>
      <c r="E443" s="69" t="n">
        <v>5.3186</v>
      </c>
      <c r="F443" s="65" t="n"/>
      <c r="G443" s="71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65" t="n"/>
      <c r="R443" s="65" t="n"/>
      <c r="S443" s="65" t="n"/>
      <c r="T443" s="65" t="n"/>
      <c r="U443" s="65" t="n"/>
      <c r="V443" s="65" t="n"/>
      <c r="W443" s="65" t="n"/>
      <c r="X443" s="65" t="n"/>
      <c r="Y443" s="65" t="n"/>
      <c r="Z443" s="65" t="n"/>
    </row>
    <row r="444" ht="12.75" customHeight="1" s="85">
      <c r="A444" s="65" t="n"/>
      <c r="B444" s="68" t="n">
        <v>45931</v>
      </c>
      <c r="C444" s="69" t="inlineStr">
        <is>
          <t>USD</t>
        </is>
      </c>
      <c r="D444" s="69" t="n">
        <v>5.3202</v>
      </c>
      <c r="E444" s="69" t="n">
        <v>5.3208</v>
      </c>
      <c r="F444" s="65" t="n"/>
      <c r="G444" s="71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5" t="n"/>
      <c r="X444" s="65" t="n"/>
      <c r="Y444" s="65" t="n"/>
      <c r="Z444" s="65" t="n"/>
    </row>
    <row r="445" ht="12.75" customHeight="1" s="85">
      <c r="A445" s="65" t="n"/>
      <c r="B445" s="68" t="n">
        <v>45932</v>
      </c>
      <c r="C445" s="69" t="inlineStr">
        <is>
          <t>USD</t>
        </is>
      </c>
      <c r="D445" s="69" t="n">
        <v>5.3443</v>
      </c>
      <c r="E445" s="69" t="n">
        <v>5.3449</v>
      </c>
      <c r="F445" s="65" t="n"/>
      <c r="G445" s="71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65" t="n"/>
      <c r="R445" s="65" t="n"/>
      <c r="S445" s="65" t="n"/>
      <c r="T445" s="65" t="n"/>
      <c r="U445" s="65" t="n"/>
      <c r="V445" s="65" t="n"/>
      <c r="W445" s="65" t="n"/>
      <c r="X445" s="65" t="n"/>
      <c r="Y445" s="65" t="n"/>
      <c r="Z445" s="65" t="n"/>
    </row>
    <row r="446" ht="12.75" customHeight="1" s="85">
      <c r="A446" s="65" t="n"/>
      <c r="B446" s="68" t="n">
        <v>45933</v>
      </c>
      <c r="C446" s="69" t="inlineStr">
        <is>
          <t>USD</t>
        </is>
      </c>
      <c r="D446" s="69" t="n">
        <v>5.3492</v>
      </c>
      <c r="E446" s="69" t="n">
        <v>5.3498</v>
      </c>
      <c r="F446" s="65" t="n"/>
      <c r="G446" s="71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5" t="n"/>
      <c r="X446" s="65" t="n"/>
      <c r="Y446" s="65" t="n"/>
      <c r="Z446" s="65" t="n"/>
    </row>
    <row r="447" ht="12.75" customHeight="1" s="85">
      <c r="A447" s="65" t="n"/>
      <c r="B447" s="68" t="n">
        <v>45936</v>
      </c>
      <c r="C447" s="69" t="inlineStr">
        <is>
          <t>USD</t>
        </is>
      </c>
      <c r="D447" s="69" t="n">
        <v>5.322</v>
      </c>
      <c r="E447" s="69" t="n">
        <v>5.3226</v>
      </c>
      <c r="F447" s="65" t="n"/>
      <c r="G447" s="71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65" t="n"/>
      <c r="R447" s="65" t="n"/>
      <c r="S447" s="65" t="n"/>
      <c r="T447" s="65" t="n"/>
      <c r="U447" s="65" t="n"/>
      <c r="V447" s="65" t="n"/>
      <c r="W447" s="65" t="n"/>
      <c r="X447" s="65" t="n"/>
      <c r="Y447" s="65" t="n"/>
      <c r="Z447" s="65" t="n"/>
    </row>
    <row r="448" ht="12.75" customHeight="1" s="85">
      <c r="A448" s="65" t="n"/>
      <c r="B448" s="68" t="n">
        <v>45937</v>
      </c>
      <c r="C448" s="69" t="inlineStr">
        <is>
          <t>USD</t>
        </is>
      </c>
      <c r="D448" s="69" t="n">
        <v>5.3357</v>
      </c>
      <c r="E448" s="69" t="n">
        <v>5.3363</v>
      </c>
      <c r="F448" s="65" t="n"/>
      <c r="G448" s="71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5" t="n"/>
      <c r="X448" s="65" t="n"/>
      <c r="Y448" s="65" t="n"/>
      <c r="Z448" s="65" t="n"/>
    </row>
    <row r="449" ht="12.75" customHeight="1" s="85">
      <c r="A449" s="65" t="n"/>
      <c r="B449" s="68" t="n">
        <v>45938</v>
      </c>
      <c r="C449" s="69" t="inlineStr">
        <is>
          <t>USD</t>
        </is>
      </c>
      <c r="D449" s="69" t="n">
        <v>5.3421</v>
      </c>
      <c r="E449" s="69" t="n">
        <v>5.3427</v>
      </c>
      <c r="F449" s="65" t="n"/>
      <c r="G449" s="71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65" t="n"/>
      <c r="R449" s="65" t="n"/>
      <c r="S449" s="65" t="n"/>
      <c r="T449" s="65" t="n"/>
      <c r="U449" s="65" t="n"/>
      <c r="V449" s="65" t="n"/>
      <c r="W449" s="65" t="n"/>
      <c r="X449" s="65" t="n"/>
      <c r="Y449" s="65" t="n"/>
      <c r="Z449" s="65" t="n"/>
    </row>
    <row r="450" ht="12.75" customHeight="1" s="85">
      <c r="A450" s="65" t="n"/>
      <c r="B450" s="68" t="n">
        <v>45939</v>
      </c>
      <c r="C450" s="69" t="inlineStr">
        <is>
          <t>USD</t>
        </is>
      </c>
      <c r="D450" s="69" t="n">
        <v>5.3532</v>
      </c>
      <c r="E450" s="69" t="n">
        <v>5.3538</v>
      </c>
      <c r="F450" s="65" t="n"/>
      <c r="G450" s="71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5" t="n"/>
      <c r="X450" s="65" t="n"/>
      <c r="Y450" s="65" t="n"/>
      <c r="Z450" s="65" t="n"/>
    </row>
    <row r="451" ht="12.75" customHeight="1" s="85">
      <c r="A451" s="65" t="n"/>
      <c r="B451" s="68" t="n">
        <v>45940</v>
      </c>
      <c r="C451" s="69" t="inlineStr">
        <is>
          <t>USD</t>
        </is>
      </c>
      <c r="D451" s="69" t="n">
        <v>5.444</v>
      </c>
      <c r="E451" s="69" t="n">
        <v>5.4446</v>
      </c>
      <c r="F451" s="65" t="n"/>
      <c r="G451" s="71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65" t="n"/>
      <c r="R451" s="65" t="n"/>
      <c r="S451" s="65" t="n"/>
      <c r="T451" s="65" t="n"/>
      <c r="U451" s="65" t="n"/>
      <c r="V451" s="65" t="n"/>
      <c r="W451" s="65" t="n"/>
      <c r="X451" s="65" t="n"/>
      <c r="Y451" s="65" t="n"/>
      <c r="Z451" s="65" t="n"/>
    </row>
    <row r="452" ht="12.75" customHeight="1" s="85">
      <c r="A452" s="65" t="n"/>
      <c r="B452" s="68" t="n">
        <v>45943</v>
      </c>
      <c r="C452" s="69" t="inlineStr">
        <is>
          <t>USD</t>
        </is>
      </c>
      <c r="D452" s="69" t="n">
        <v>5.4623</v>
      </c>
      <c r="E452" s="69" t="n">
        <v>5.4629</v>
      </c>
      <c r="F452" s="65" t="n"/>
      <c r="G452" s="71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5" t="n"/>
      <c r="X452" s="65" t="n"/>
      <c r="Y452" s="65" t="n"/>
      <c r="Z452" s="65" t="n"/>
    </row>
    <row r="453" ht="12.75" customHeight="1" s="85">
      <c r="A453" s="65" t="n"/>
      <c r="B453" s="68" t="n">
        <v>45944</v>
      </c>
      <c r="C453" s="69" t="inlineStr">
        <is>
          <t>USD</t>
        </is>
      </c>
      <c r="D453" s="69" t="n">
        <v>5.4976</v>
      </c>
      <c r="E453" s="69" t="n">
        <v>5.4982</v>
      </c>
      <c r="F453" s="65" t="n"/>
      <c r="G453" s="71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65" t="n"/>
      <c r="R453" s="65" t="n"/>
      <c r="S453" s="65" t="n"/>
      <c r="T453" s="65" t="n"/>
      <c r="U453" s="65" t="n"/>
      <c r="V453" s="65" t="n"/>
      <c r="W453" s="65" t="n"/>
      <c r="X453" s="65" t="n"/>
      <c r="Y453" s="65" t="n"/>
      <c r="Z453" s="65" t="n"/>
    </row>
    <row r="454" ht="12.75" customHeight="1" s="85">
      <c r="A454" s="65" t="n"/>
      <c r="B454" s="68" t="n">
        <v>45945</v>
      </c>
      <c r="C454" s="69" t="inlineStr">
        <is>
          <t>USD</t>
        </is>
      </c>
      <c r="D454" s="69" t="n">
        <v>5.4458</v>
      </c>
      <c r="E454" s="69" t="n">
        <v>5.4464</v>
      </c>
      <c r="F454" s="65" t="n"/>
      <c r="G454" s="71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5" t="n"/>
      <c r="X454" s="65" t="n"/>
      <c r="Y454" s="65" t="n"/>
      <c r="Z454" s="65" t="n"/>
    </row>
    <row r="455" ht="12.75" customHeight="1" s="85">
      <c r="A455" s="65" t="n"/>
      <c r="B455" s="68" t="n">
        <v>45946</v>
      </c>
      <c r="C455" s="69" t="inlineStr">
        <is>
          <t>USD</t>
        </is>
      </c>
      <c r="D455" s="69" t="n">
        <v>5.4348</v>
      </c>
      <c r="E455" s="69" t="n">
        <v>5.4354</v>
      </c>
      <c r="F455" s="65" t="n"/>
      <c r="G455" s="71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65" t="n"/>
      <c r="R455" s="65" t="n"/>
      <c r="S455" s="65" t="n"/>
      <c r="T455" s="65" t="n"/>
      <c r="U455" s="65" t="n"/>
      <c r="V455" s="65" t="n"/>
      <c r="W455" s="65" t="n"/>
      <c r="X455" s="65" t="n"/>
      <c r="Y455" s="65" t="n"/>
      <c r="Z455" s="65" t="n"/>
    </row>
    <row r="456" ht="12.75" customHeight="1" s="85">
      <c r="A456" s="65" t="n"/>
      <c r="B456" s="68" t="n">
        <v>45947</v>
      </c>
      <c r="C456" s="69" t="inlineStr">
        <is>
          <t>USD</t>
        </is>
      </c>
      <c r="D456" s="69" t="n">
        <v>5.4384</v>
      </c>
      <c r="E456" s="69" t="n">
        <v>5.439</v>
      </c>
      <c r="F456" s="65" t="n"/>
      <c r="G456" s="71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5" t="n"/>
      <c r="X456" s="65" t="n"/>
      <c r="Y456" s="65" t="n"/>
      <c r="Z456" s="65" t="n"/>
    </row>
    <row r="457" ht="12.75" customHeight="1" s="85">
      <c r="A457" s="65" t="n"/>
      <c r="B457" s="68" t="n">
        <v>45950</v>
      </c>
      <c r="C457" s="69" t="inlineStr">
        <is>
          <t>USD</t>
        </is>
      </c>
      <c r="D457" s="69" t="n">
        <v>5.3765</v>
      </c>
      <c r="E457" s="69" t="n">
        <v>5.3771</v>
      </c>
      <c r="F457" s="65" t="n"/>
      <c r="G457" s="71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65" t="n"/>
      <c r="R457" s="65" t="n"/>
      <c r="S457" s="65" t="n"/>
      <c r="T457" s="65" t="n"/>
      <c r="U457" s="65" t="n"/>
      <c r="V457" s="65" t="n"/>
      <c r="W457" s="65" t="n"/>
      <c r="X457" s="65" t="n"/>
      <c r="Y457" s="65" t="n"/>
      <c r="Z457" s="65" t="n"/>
    </row>
    <row r="458" ht="12.75" customHeight="1" s="85">
      <c r="A458" s="65" t="n"/>
      <c r="B458" s="68" t="n">
        <v>45951</v>
      </c>
      <c r="C458" s="69" t="inlineStr">
        <is>
          <t>USD</t>
        </is>
      </c>
      <c r="D458" s="69" t="n">
        <v>5.3842</v>
      </c>
      <c r="E458" s="69" t="n">
        <v>5.3848</v>
      </c>
      <c r="F458" s="65" t="n"/>
      <c r="G458" s="71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5" t="n"/>
      <c r="X458" s="65" t="n"/>
      <c r="Y458" s="65" t="n"/>
      <c r="Z458" s="65" t="n"/>
    </row>
    <row r="459" ht="12.75" customHeight="1" s="85">
      <c r="A459" s="65" t="n"/>
      <c r="B459" s="68" t="n">
        <v>45952</v>
      </c>
      <c r="C459" s="69" t="inlineStr">
        <is>
          <t>USD</t>
        </is>
      </c>
      <c r="D459" s="69" t="n">
        <v>5.3892</v>
      </c>
      <c r="E459" s="69" t="n">
        <v>5.3898</v>
      </c>
      <c r="F459" s="65" t="n"/>
      <c r="G459" s="71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65" t="n"/>
      <c r="R459" s="65" t="n"/>
      <c r="S459" s="65" t="n"/>
      <c r="T459" s="65" t="n"/>
      <c r="U459" s="65" t="n"/>
      <c r="V459" s="65" t="n"/>
      <c r="W459" s="65" t="n"/>
      <c r="X459" s="65" t="n"/>
      <c r="Y459" s="65" t="n"/>
      <c r="Z459" s="65" t="n"/>
    </row>
    <row r="460" ht="12.75" customHeight="1" s="85">
      <c r="A460" s="65" t="n"/>
      <c r="B460" s="68" t="n">
        <v>45953</v>
      </c>
      <c r="C460" s="69" t="inlineStr">
        <is>
          <t>USD</t>
        </is>
      </c>
      <c r="D460" s="69" t="n">
        <v>5.3834</v>
      </c>
      <c r="E460" s="69" t="n">
        <v>5.384</v>
      </c>
      <c r="F460" s="65" t="n"/>
      <c r="G460" s="71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5" t="n"/>
      <c r="X460" s="65" t="n"/>
      <c r="Y460" s="65" t="n"/>
      <c r="Z460" s="65" t="n"/>
    </row>
    <row r="461" ht="12.75" customHeight="1" s="85">
      <c r="A461" s="65" t="n"/>
      <c r="B461" s="68" t="n">
        <v>45954</v>
      </c>
      <c r="C461" s="69" t="inlineStr">
        <is>
          <t>USD</t>
        </is>
      </c>
      <c r="D461" s="69" t="n">
        <v>5.3791</v>
      </c>
      <c r="E461" s="69" t="n">
        <v>5.3797</v>
      </c>
      <c r="F461" s="65" t="n"/>
      <c r="G461" s="71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65" t="n"/>
      <c r="R461" s="65" t="n"/>
      <c r="S461" s="65" t="n"/>
      <c r="T461" s="65" t="n"/>
      <c r="U461" s="65" t="n"/>
      <c r="V461" s="65" t="n"/>
      <c r="W461" s="65" t="n"/>
      <c r="X461" s="65" t="n"/>
      <c r="Y461" s="65" t="n"/>
      <c r="Z461" s="65" t="n"/>
    </row>
    <row r="462" ht="12.75" customHeight="1" s="85">
      <c r="A462" s="65" t="n"/>
      <c r="B462" s="68" t="n">
        <v>45957</v>
      </c>
      <c r="C462" s="69" t="inlineStr">
        <is>
          <t>USD</t>
        </is>
      </c>
      <c r="D462" s="69" t="n">
        <v>5.3738</v>
      </c>
      <c r="E462" s="69" t="n">
        <v>5.3744</v>
      </c>
      <c r="F462" s="65" t="n"/>
      <c r="G462" s="71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5" t="n"/>
      <c r="X462" s="65" t="n"/>
      <c r="Y462" s="65" t="n"/>
      <c r="Z462" s="65" t="n"/>
    </row>
    <row r="463" ht="12.75" customHeight="1" s="85">
      <c r="A463" s="65" t="n"/>
      <c r="B463" s="68" t="n">
        <v>45958</v>
      </c>
      <c r="C463" s="69" t="inlineStr">
        <is>
          <t>USD</t>
        </is>
      </c>
      <c r="D463" s="69" t="n">
        <v>5.3684</v>
      </c>
      <c r="E463" s="69" t="n">
        <v>5.369</v>
      </c>
      <c r="F463" s="65" t="n"/>
      <c r="G463" s="71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65" t="n"/>
      <c r="T463" s="65" t="n"/>
      <c r="U463" s="65" t="n"/>
      <c r="V463" s="65" t="n"/>
      <c r="W463" s="65" t="n"/>
      <c r="X463" s="65" t="n"/>
      <c r="Y463" s="65" t="n"/>
      <c r="Z463" s="65" t="n"/>
    </row>
    <row r="464" ht="12.75" customHeight="1" s="85">
      <c r="A464" s="65" t="n"/>
      <c r="B464" s="68" t="n">
        <v>45959</v>
      </c>
      <c r="C464" s="69" t="inlineStr">
        <is>
          <t>USD</t>
        </is>
      </c>
      <c r="D464" s="69" t="n">
        <v>5.341</v>
      </c>
      <c r="E464" s="69" t="n">
        <v>5.3416</v>
      </c>
      <c r="F464" s="65" t="n"/>
      <c r="G464" s="71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5" t="n"/>
      <c r="X464" s="65" t="n"/>
      <c r="Y464" s="65" t="n"/>
      <c r="Z464" s="65" t="n"/>
    </row>
    <row r="465" ht="12.75" customHeight="1" s="85">
      <c r="A465" s="65" t="n"/>
      <c r="B465" s="68" t="n">
        <v>45960</v>
      </c>
      <c r="C465" s="69" t="inlineStr">
        <is>
          <t>USD</t>
        </is>
      </c>
      <c r="D465" s="69" t="n">
        <v>5.3844</v>
      </c>
      <c r="E465" s="69" t="n">
        <v>5.385</v>
      </c>
      <c r="F465" s="65" t="n"/>
      <c r="G465" s="71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65" t="n"/>
      <c r="T465" s="65" t="n"/>
      <c r="U465" s="65" t="n"/>
      <c r="V465" s="65" t="n"/>
      <c r="W465" s="65" t="n"/>
      <c r="X465" s="65" t="n"/>
      <c r="Y465" s="65" t="n"/>
      <c r="Z465" s="65" t="n"/>
    </row>
    <row r="466" ht="12.75" customHeight="1" s="85">
      <c r="A466" s="65" t="n"/>
      <c r="B466" s="68" t="n">
        <v>45961</v>
      </c>
      <c r="C466" s="69" t="inlineStr">
        <is>
          <t>USD</t>
        </is>
      </c>
      <c r="D466" s="69" t="n">
        <v>5.3837</v>
      </c>
      <c r="E466" s="69" t="n">
        <v>5.3843</v>
      </c>
      <c r="F466" s="65" t="n"/>
      <c r="G466" s="71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  <c r="X466" s="65" t="n"/>
      <c r="Y466" s="65" t="n"/>
      <c r="Z466" s="65" t="n"/>
    </row>
    <row r="467" ht="12.75" customHeight="1" s="85">
      <c r="A467" s="65" t="n"/>
      <c r="B467" s="68" t="n">
        <v>45964</v>
      </c>
      <c r="C467" s="69" t="inlineStr">
        <is>
          <t>USD</t>
        </is>
      </c>
      <c r="D467" s="69" t="n">
        <v>5.3499</v>
      </c>
      <c r="E467" s="69" t="n">
        <v>5.3505</v>
      </c>
      <c r="F467" s="65" t="n"/>
      <c r="G467" s="71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65" t="n"/>
      <c r="T467" s="65" t="n"/>
      <c r="U467" s="65" t="n"/>
      <c r="V467" s="65" t="n"/>
      <c r="W467" s="65" t="n"/>
      <c r="X467" s="65" t="n"/>
      <c r="Y467" s="65" t="n"/>
      <c r="Z467" s="65" t="n"/>
    </row>
    <row r="468" ht="12.75" customHeight="1" s="85">
      <c r="A468" s="65" t="n"/>
      <c r="B468" s="68" t="n">
        <v>45965</v>
      </c>
      <c r="C468" s="69" t="inlineStr">
        <is>
          <t>USD</t>
        </is>
      </c>
      <c r="D468" s="69" t="n">
        <v>5.384</v>
      </c>
      <c r="E468" s="69" t="n">
        <v>5.3846</v>
      </c>
      <c r="F468" s="65" t="n"/>
      <c r="G468" s="71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5" t="n"/>
      <c r="X468" s="65" t="n"/>
      <c r="Y468" s="65" t="n"/>
      <c r="Z468" s="65" t="n"/>
    </row>
    <row r="469" ht="12.75" customHeight="1" s="85">
      <c r="A469" s="65" t="n"/>
      <c r="B469" s="68" t="n">
        <v>45966</v>
      </c>
      <c r="C469" s="69" t="inlineStr">
        <is>
          <t>USD</t>
        </is>
      </c>
      <c r="D469" s="69" t="n">
        <v>5.3792</v>
      </c>
      <c r="E469" s="69" t="n">
        <v>5.3798</v>
      </c>
      <c r="F469" s="65" t="n"/>
      <c r="G469" s="71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65" t="n"/>
      <c r="R469" s="65" t="n"/>
      <c r="S469" s="65" t="n"/>
      <c r="T469" s="65" t="n"/>
      <c r="U469" s="65" t="n"/>
      <c r="V469" s="65" t="n"/>
      <c r="W469" s="65" t="n"/>
      <c r="X469" s="65" t="n"/>
      <c r="Y469" s="65" t="n"/>
      <c r="Z469" s="65" t="n"/>
    </row>
    <row r="470" ht="12.75" customHeight="1" s="85">
      <c r="A470" s="65" t="n"/>
      <c r="B470" s="68" t="n">
        <v>45967</v>
      </c>
      <c r="C470" s="69" t="inlineStr">
        <is>
          <t>USD</t>
        </is>
      </c>
      <c r="D470" s="69" t="n">
        <v>5.3445</v>
      </c>
      <c r="E470" s="69" t="n">
        <v>5.3451</v>
      </c>
      <c r="F470" s="65" t="n"/>
      <c r="G470" s="71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5" t="n"/>
      <c r="X470" s="65" t="n"/>
      <c r="Y470" s="65" t="n"/>
      <c r="Z470" s="65" t="n"/>
    </row>
    <row r="471" ht="12.75" customHeight="1" s="85">
      <c r="A471" s="65" t="n"/>
      <c r="B471" s="68" t="n">
        <v>45968</v>
      </c>
      <c r="C471" s="69" t="inlineStr">
        <is>
          <t>USD</t>
        </is>
      </c>
      <c r="D471" s="69" t="n">
        <v>5.3561</v>
      </c>
      <c r="E471" s="69" t="n">
        <v>5.3567</v>
      </c>
      <c r="F471" s="65" t="n"/>
      <c r="G471" s="71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65" t="n"/>
      <c r="T471" s="65" t="n"/>
      <c r="U471" s="65" t="n"/>
      <c r="V471" s="65" t="n"/>
      <c r="W471" s="65" t="n"/>
      <c r="X471" s="65" t="n"/>
      <c r="Y471" s="65" t="n"/>
      <c r="Z471" s="65" t="n"/>
    </row>
    <row r="472" ht="12.75" customHeight="1" s="85">
      <c r="A472" s="65" t="n"/>
      <c r="B472" s="68" t="n">
        <v>45971</v>
      </c>
      <c r="C472" s="69" t="inlineStr">
        <is>
          <t>USD</t>
        </is>
      </c>
      <c r="D472" s="69" t="n">
        <v>5.3175</v>
      </c>
      <c r="E472" s="69" t="n">
        <v>5.3181</v>
      </c>
      <c r="F472" s="65" t="n"/>
      <c r="G472" s="71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5" t="n"/>
      <c r="X472" s="65" t="n"/>
      <c r="Y472" s="65" t="n"/>
      <c r="Z472" s="65" t="n"/>
    </row>
    <row r="473" ht="12.75" customHeight="1" s="85">
      <c r="A473" s="65" t="n"/>
      <c r="B473" s="68" t="n">
        <v>45972</v>
      </c>
      <c r="C473" s="69" t="inlineStr">
        <is>
          <t>USD</t>
        </is>
      </c>
      <c r="D473" s="69" t="n">
        <v>5.2723</v>
      </c>
      <c r="E473" s="69" t="n">
        <v>5.2729</v>
      </c>
      <c r="F473" s="65" t="n"/>
      <c r="G473" s="71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65" t="n"/>
      <c r="R473" s="65" t="n"/>
      <c r="S473" s="65" t="n"/>
      <c r="T473" s="65" t="n"/>
      <c r="U473" s="65" t="n"/>
      <c r="V473" s="65" t="n"/>
      <c r="W473" s="65" t="n"/>
      <c r="X473" s="65" t="n"/>
      <c r="Y473" s="65" t="n"/>
      <c r="Z473" s="65" t="n"/>
    </row>
    <row r="474" ht="12.75" customHeight="1" s="85">
      <c r="A474" s="65" t="n"/>
      <c r="B474" s="68" t="n">
        <v>45973</v>
      </c>
      <c r="C474" s="69" t="inlineStr">
        <is>
          <t>USD</t>
        </is>
      </c>
      <c r="D474" s="69" t="n">
        <v>5.2879</v>
      </c>
      <c r="E474" s="69" t="n">
        <v>5.2885</v>
      </c>
      <c r="F474" s="65" t="n"/>
      <c r="G474" s="71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5" t="n"/>
      <c r="X474" s="65" t="n"/>
      <c r="Y474" s="65" t="n"/>
      <c r="Z474" s="65" t="n"/>
    </row>
    <row r="475" ht="12.75" customHeight="1" s="85">
      <c r="A475" s="65" t="n"/>
      <c r="B475" s="68" t="n">
        <v>45974</v>
      </c>
      <c r="C475" s="69" t="inlineStr">
        <is>
          <t>USD</t>
        </is>
      </c>
      <c r="D475" s="69" t="n">
        <v>5.2814</v>
      </c>
      <c r="E475" s="69" t="n">
        <v>5.282</v>
      </c>
      <c r="F475" s="65" t="n"/>
      <c r="G475" s="71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65" t="n"/>
      <c r="R475" s="65" t="n"/>
      <c r="S475" s="65" t="n"/>
      <c r="T475" s="65" t="n"/>
      <c r="U475" s="65" t="n"/>
      <c r="V475" s="65" t="n"/>
      <c r="W475" s="65" t="n"/>
      <c r="X475" s="65" t="n"/>
      <c r="Y475" s="65" t="n"/>
      <c r="Z475" s="65" t="n"/>
    </row>
    <row r="476" ht="12.75" customHeight="1" s="85">
      <c r="A476" s="65" t="n"/>
      <c r="B476" s="68" t="n">
        <v>45975</v>
      </c>
      <c r="C476" s="69" t="inlineStr">
        <is>
          <t>USD</t>
        </is>
      </c>
      <c r="D476" s="69" t="n">
        <v>5.2946</v>
      </c>
      <c r="E476" s="69" t="n">
        <v>5.2952</v>
      </c>
      <c r="F476" s="65" t="n"/>
      <c r="G476" s="71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5" t="n"/>
      <c r="X476" s="65" t="n"/>
      <c r="Y476" s="65" t="n"/>
      <c r="Z476" s="65" t="n"/>
    </row>
    <row r="477" ht="12.75" customHeight="1" s="85">
      <c r="A477" s="65" t="n"/>
      <c r="B477" s="68" t="n">
        <v>45978</v>
      </c>
      <c r="C477" s="69" t="inlineStr">
        <is>
          <t>USD</t>
        </is>
      </c>
      <c r="D477" s="69" t="n">
        <v>5.3102</v>
      </c>
      <c r="E477" s="69" t="n">
        <v>5.3108</v>
      </c>
      <c r="F477" s="65" t="n"/>
      <c r="G477" s="71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65" t="n"/>
      <c r="R477" s="65" t="n"/>
      <c r="S477" s="65" t="n"/>
      <c r="T477" s="65" t="n"/>
      <c r="U477" s="65" t="n"/>
      <c r="V477" s="65" t="n"/>
      <c r="W477" s="65" t="n"/>
      <c r="X477" s="65" t="n"/>
      <c r="Y477" s="65" t="n"/>
      <c r="Z477" s="65" t="n"/>
    </row>
    <row r="478" ht="12.75" customHeight="1" s="85">
      <c r="A478" s="65" t="n"/>
      <c r="B478" s="68" t="n">
        <v>45979</v>
      </c>
      <c r="C478" s="69" t="inlineStr">
        <is>
          <t>USD</t>
        </is>
      </c>
      <c r="D478" s="69" t="n">
        <v>5.3355</v>
      </c>
      <c r="E478" s="69" t="n">
        <v>5.3361</v>
      </c>
      <c r="F478" s="65" t="n"/>
      <c r="G478" s="71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5" t="n"/>
      <c r="X478" s="65" t="n"/>
      <c r="Y478" s="65" t="n"/>
      <c r="Z478" s="65" t="n"/>
    </row>
    <row r="479" ht="12.75" customHeight="1" s="85">
      <c r="A479" s="65" t="n"/>
      <c r="B479" s="68" t="n">
        <v>45980</v>
      </c>
      <c r="C479" s="69" t="inlineStr">
        <is>
          <t>USD</t>
        </is>
      </c>
      <c r="D479" s="69" t="n">
        <v>5.334</v>
      </c>
      <c r="E479" s="69" t="n">
        <v>5.3346</v>
      </c>
      <c r="F479" s="65" t="n"/>
      <c r="G479" s="71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65" t="n"/>
      <c r="R479" s="65" t="n"/>
      <c r="S479" s="65" t="n"/>
      <c r="T479" s="65" t="n"/>
      <c r="U479" s="65" t="n"/>
      <c r="V479" s="65" t="n"/>
      <c r="W479" s="65" t="n"/>
      <c r="X479" s="65" t="n"/>
      <c r="Y479" s="65" t="n"/>
      <c r="Z479" s="65" t="n"/>
    </row>
    <row r="480" ht="12.75" customHeight="1" s="85">
      <c r="A480" s="65" t="n"/>
      <c r="B480" s="68" t="n">
        <v>45982</v>
      </c>
      <c r="C480" s="69" t="inlineStr">
        <is>
          <t>USD</t>
        </is>
      </c>
      <c r="D480" s="69" t="n">
        <v>5.3896</v>
      </c>
      <c r="E480" s="69" t="n">
        <v>5.3902</v>
      </c>
      <c r="F480" s="65" t="n"/>
      <c r="G480" s="71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5" t="n"/>
      <c r="X480" s="65" t="n"/>
      <c r="Y480" s="65" t="n"/>
      <c r="Z480" s="65" t="n"/>
    </row>
    <row r="481" ht="12.75" customHeight="1" s="85">
      <c r="A481" s="65" t="n"/>
      <c r="B481" s="68" t="n">
        <v>45985</v>
      </c>
      <c r="C481" s="69" t="inlineStr">
        <is>
          <t>USD</t>
        </is>
      </c>
      <c r="D481" s="69" t="n">
        <v>5.3942</v>
      </c>
      <c r="E481" s="69" t="n">
        <v>5.3948</v>
      </c>
      <c r="F481" s="65" t="n"/>
      <c r="G481" s="71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65" t="n"/>
      <c r="T481" s="65" t="n"/>
      <c r="U481" s="65" t="n"/>
      <c r="V481" s="65" t="n"/>
      <c r="W481" s="65" t="n"/>
      <c r="X481" s="65" t="n"/>
      <c r="Y481" s="65" t="n"/>
      <c r="Z481" s="65" t="n"/>
    </row>
    <row r="482" ht="12.75" customHeight="1" s="85">
      <c r="A482" s="65" t="n"/>
      <c r="B482" s="68" t="n">
        <v>45986</v>
      </c>
      <c r="C482" s="69" t="inlineStr">
        <is>
          <t>USD</t>
        </is>
      </c>
      <c r="D482" s="69" t="n">
        <v>5.3835</v>
      </c>
      <c r="E482" s="69" t="n">
        <v>5.3841</v>
      </c>
      <c r="F482" s="65" t="n"/>
      <c r="G482" s="71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5" t="n"/>
      <c r="X482" s="65" t="n"/>
      <c r="Y482" s="65" t="n"/>
      <c r="Z482" s="65" t="n"/>
    </row>
    <row r="483" ht="12.75" customHeight="1" s="85">
      <c r="A483" s="65" t="n"/>
      <c r="B483" s="68" t="n">
        <v>45987</v>
      </c>
      <c r="C483" s="69" t="inlineStr">
        <is>
          <t>USD</t>
        </is>
      </c>
      <c r="D483" s="69" t="n">
        <v>5.3688</v>
      </c>
      <c r="E483" s="69" t="n">
        <v>5.3694</v>
      </c>
      <c r="F483" s="65" t="n"/>
      <c r="G483" s="71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65" t="n"/>
      <c r="R483" s="65" t="n"/>
      <c r="S483" s="65" t="n"/>
      <c r="T483" s="65" t="n"/>
      <c r="U483" s="65" t="n"/>
      <c r="V483" s="65" t="n"/>
      <c r="W483" s="65" t="n"/>
      <c r="X483" s="65" t="n"/>
      <c r="Y483" s="65" t="n"/>
      <c r="Z483" s="65" t="n"/>
    </row>
    <row r="484" ht="12.75" customHeight="1" s="85">
      <c r="A484" s="65" t="n"/>
      <c r="B484" s="68" t="n">
        <v>45988</v>
      </c>
      <c r="C484" s="69" t="inlineStr">
        <is>
          <t>USD</t>
        </is>
      </c>
      <c r="D484" s="69" t="n">
        <v>5.3484</v>
      </c>
      <c r="E484" s="69" t="n">
        <v>5.349</v>
      </c>
      <c r="F484" s="65" t="n"/>
      <c r="G484" s="71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5" t="n"/>
      <c r="X484" s="65" t="n"/>
      <c r="Y484" s="65" t="n"/>
      <c r="Z484" s="65" t="n"/>
    </row>
    <row r="485" ht="12.75" customHeight="1" s="85">
      <c r="A485" s="65" t="n"/>
      <c r="B485" s="68" t="n">
        <v>45989</v>
      </c>
      <c r="C485" s="69" t="inlineStr">
        <is>
          <t>USD</t>
        </is>
      </c>
      <c r="D485" s="69" t="n">
        <v>5.3332</v>
      </c>
      <c r="E485" s="69" t="n">
        <v>5.3338</v>
      </c>
      <c r="F485" s="65" t="n"/>
      <c r="G485" s="71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65" t="n"/>
      <c r="R485" s="65" t="n"/>
      <c r="S485" s="65" t="n"/>
      <c r="T485" s="65" t="n"/>
      <c r="U485" s="65" t="n"/>
      <c r="V485" s="65" t="n"/>
      <c r="W485" s="65" t="n"/>
      <c r="X485" s="65" t="n"/>
      <c r="Y485" s="65" t="n"/>
      <c r="Z485" s="65" t="n"/>
    </row>
    <row r="486" ht="12.75" customHeight="1" s="85">
      <c r="A486" s="65" t="n"/>
      <c r="B486" s="68" t="n">
        <v>45992</v>
      </c>
      <c r="C486" s="69" t="inlineStr">
        <is>
          <t>USD</t>
        </is>
      </c>
      <c r="D486" s="69" t="n">
        <v>5.3463</v>
      </c>
      <c r="E486" s="69" t="n">
        <v>5.3469</v>
      </c>
      <c r="F486" s="65" t="n"/>
      <c r="G486" s="71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5" t="n"/>
      <c r="X486" s="65" t="n"/>
      <c r="Y486" s="65" t="n"/>
      <c r="Z486" s="65" t="n"/>
    </row>
    <row r="487" ht="12.75" customHeight="1" s="85">
      <c r="A487" s="65" t="n"/>
      <c r="B487" s="68" t="n">
        <v>45993</v>
      </c>
      <c r="C487" s="69" t="inlineStr">
        <is>
          <t>USD</t>
        </is>
      </c>
      <c r="D487" s="69" t="n">
        <v>5.3459</v>
      </c>
      <c r="E487" s="69" t="n">
        <v>5.3465</v>
      </c>
      <c r="F487" s="65" t="n"/>
      <c r="G487" s="71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65" t="n"/>
      <c r="T487" s="65" t="n"/>
      <c r="U487" s="65" t="n"/>
      <c r="V487" s="65" t="n"/>
      <c r="W487" s="65" t="n"/>
      <c r="X487" s="65" t="n"/>
      <c r="Y487" s="65" t="n"/>
      <c r="Z487" s="65" t="n"/>
    </row>
    <row r="488" ht="12.75" customHeight="1" s="85">
      <c r="A488" s="65" t="n"/>
      <c r="B488" s="68" t="n">
        <v>45994</v>
      </c>
      <c r="C488" s="69" t="inlineStr">
        <is>
          <t>USD</t>
        </is>
      </c>
      <c r="D488" s="69" t="n">
        <v>5.3108</v>
      </c>
      <c r="E488" s="69" t="n">
        <v>5.3114</v>
      </c>
      <c r="F488" s="65" t="n"/>
      <c r="G488" s="71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5" t="n"/>
      <c r="X488" s="65" t="n"/>
      <c r="Y488" s="65" t="n"/>
      <c r="Z488" s="65" t="n"/>
    </row>
    <row r="489" ht="12.75" customHeight="1" s="85">
      <c r="A489" s="65" t="n"/>
      <c r="B489" s="68" t="n">
        <v>45995</v>
      </c>
      <c r="C489" s="69" t="inlineStr">
        <is>
          <t>USD</t>
        </is>
      </c>
      <c r="D489" s="69" t="n">
        <v>5.2946</v>
      </c>
      <c r="E489" s="69" t="n">
        <v>5.2952</v>
      </c>
      <c r="F489" s="65" t="n"/>
      <c r="G489" s="71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65" t="n"/>
      <c r="R489" s="65" t="n"/>
      <c r="S489" s="65" t="n"/>
      <c r="T489" s="65" t="n"/>
      <c r="U489" s="65" t="n"/>
      <c r="V489" s="65" t="n"/>
      <c r="W489" s="65" t="n"/>
      <c r="X489" s="65" t="n"/>
      <c r="Y489" s="65" t="n"/>
      <c r="Z489" s="65" t="n"/>
    </row>
    <row r="490" ht="12.75" customHeight="1" s="85">
      <c r="A490" s="65" t="n"/>
      <c r="B490" s="68" t="n">
        <v>45996</v>
      </c>
      <c r="C490" s="69" t="inlineStr">
        <is>
          <t>USD</t>
        </is>
      </c>
      <c r="D490" s="69" t="n">
        <v>5.3399</v>
      </c>
      <c r="E490" s="69" t="n">
        <v>5.3405</v>
      </c>
      <c r="F490" s="65" t="n"/>
      <c r="G490" s="71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5" t="n"/>
      <c r="X490" s="65" t="n"/>
      <c r="Y490" s="65" t="n"/>
      <c r="Z490" s="65" t="n"/>
    </row>
    <row r="491" ht="12.75" customHeight="1" s="85">
      <c r="A491" s="65" t="n"/>
      <c r="B491" s="68" t="n">
        <v>45999</v>
      </c>
      <c r="C491" s="69" t="inlineStr">
        <is>
          <t>USD</t>
        </is>
      </c>
      <c r="D491" s="69" t="n">
        <v>5.4243</v>
      </c>
      <c r="E491" s="69" t="n">
        <v>5.4249</v>
      </c>
      <c r="F491" s="65" t="n"/>
      <c r="G491" s="71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65" t="n"/>
      <c r="R491" s="65" t="n"/>
      <c r="S491" s="65" t="n"/>
      <c r="T491" s="65" t="n"/>
      <c r="U491" s="65" t="n"/>
      <c r="V491" s="65" t="n"/>
      <c r="W491" s="65" t="n"/>
      <c r="X491" s="65" t="n"/>
      <c r="Y491" s="65" t="n"/>
      <c r="Z491" s="65" t="n"/>
    </row>
    <row r="492" ht="12.75" customHeight="1" s="85">
      <c r="A492" s="65" t="n"/>
      <c r="B492" s="68" t="n">
        <v>46000</v>
      </c>
      <c r="C492" s="69" t="inlineStr">
        <is>
          <t>USD</t>
        </is>
      </c>
      <c r="D492" s="69" t="n">
        <v>5.4564</v>
      </c>
      <c r="E492" s="69" t="n">
        <v>5.457</v>
      </c>
      <c r="F492" s="65" t="n"/>
      <c r="G492" s="71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5" t="n"/>
      <c r="X492" s="65" t="n"/>
      <c r="Y492" s="65" t="n"/>
      <c r="Z492" s="65" t="n"/>
    </row>
    <row r="493" ht="12.75" customHeight="1" s="85">
      <c r="A493" s="65" t="n"/>
      <c r="B493" s="68" t="n">
        <v>46001</v>
      </c>
      <c r="C493" s="69" t="inlineStr">
        <is>
          <t>USD</t>
        </is>
      </c>
      <c r="D493" s="69" t="n">
        <v>5.465</v>
      </c>
      <c r="E493" s="69" t="n">
        <v>5.4656</v>
      </c>
      <c r="F493" s="65" t="n"/>
      <c r="G493" s="71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65" t="n"/>
      <c r="R493" s="65" t="n"/>
      <c r="S493" s="65" t="n"/>
      <c r="T493" s="65" t="n"/>
      <c r="U493" s="65" t="n"/>
      <c r="V493" s="65" t="n"/>
      <c r="W493" s="65" t="n"/>
      <c r="X493" s="65" t="n"/>
      <c r="Y493" s="65" t="n"/>
      <c r="Z493" s="65" t="n"/>
    </row>
    <row r="494" ht="12.75" customHeight="1" s="85">
      <c r="A494" s="65" t="n"/>
      <c r="B494" s="68" t="n">
        <v>46002</v>
      </c>
      <c r="C494" s="69" t="inlineStr">
        <is>
          <t>USD</t>
        </is>
      </c>
      <c r="D494" s="69" t="n">
        <v>5.4231</v>
      </c>
      <c r="E494" s="69" t="n">
        <v>5.4237</v>
      </c>
      <c r="F494" s="65" t="n"/>
      <c r="G494" s="71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5" t="n"/>
      <c r="X494" s="65" t="n"/>
      <c r="Y494" s="65" t="n"/>
      <c r="Z494" s="65" t="n"/>
    </row>
    <row r="495" ht="12.75" customHeight="1" s="85">
      <c r="A495" s="65" t="n"/>
      <c r="B495" s="68" t="n">
        <v>46003</v>
      </c>
      <c r="C495" s="69" t="inlineStr">
        <is>
          <t>USD</t>
        </is>
      </c>
      <c r="D495" s="69" t="n">
        <v>5.4005</v>
      </c>
      <c r="E495" s="69" t="n">
        <v>5.4011</v>
      </c>
      <c r="F495" s="65" t="n"/>
      <c r="G495" s="71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65" t="n"/>
      <c r="T495" s="65" t="n"/>
      <c r="U495" s="65" t="n"/>
      <c r="V495" s="65" t="n"/>
      <c r="W495" s="65" t="n"/>
      <c r="X495" s="65" t="n"/>
      <c r="Y495" s="65" t="n"/>
      <c r="Z495" s="65" t="n"/>
    </row>
    <row r="496" ht="12.75" customHeight="1" s="85">
      <c r="A496" s="65" t="n"/>
      <c r="B496" s="68" t="n">
        <v>46006</v>
      </c>
      <c r="C496" s="69" t="inlineStr">
        <is>
          <t>USD</t>
        </is>
      </c>
      <c r="D496" s="69" t="n">
        <v>5.3923</v>
      </c>
      <c r="E496" s="69" t="n">
        <v>5.3929</v>
      </c>
      <c r="F496" s="65" t="n"/>
      <c r="G496" s="71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5" t="n"/>
      <c r="X496" s="65" t="n"/>
      <c r="Y496" s="65" t="n"/>
      <c r="Z496" s="65" t="n"/>
    </row>
    <row r="497" ht="12.75" customHeight="1" s="85">
      <c r="A497" s="65" t="n"/>
      <c r="B497" s="68" t="n">
        <v>46007</v>
      </c>
      <c r="C497" s="69" t="inlineStr">
        <is>
          <t>USD</t>
        </is>
      </c>
      <c r="D497" s="69" t="n">
        <v>5.4499</v>
      </c>
      <c r="E497" s="69" t="n">
        <v>5.4505</v>
      </c>
      <c r="F497" s="65" t="n"/>
      <c r="G497" s="71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65" t="n"/>
      <c r="R497" s="65" t="n"/>
      <c r="S497" s="65" t="n"/>
      <c r="T497" s="65" t="n"/>
      <c r="U497" s="65" t="n"/>
      <c r="V497" s="65" t="n"/>
      <c r="W497" s="65" t="n"/>
      <c r="X497" s="65" t="n"/>
      <c r="Y497" s="65" t="n"/>
      <c r="Z497" s="65" t="n"/>
    </row>
    <row r="498" ht="12.75" customHeight="1" s="85">
      <c r="A498" s="65" t="n"/>
      <c r="B498" s="68" t="n">
        <v>46008</v>
      </c>
      <c r="C498" s="69" t="inlineStr">
        <is>
          <t>USD</t>
        </is>
      </c>
      <c r="D498" s="69" t="n">
        <v>5.5087</v>
      </c>
      <c r="E498" s="69" t="n">
        <v>5.5093</v>
      </c>
      <c r="F498" s="65" t="n"/>
      <c r="G498" s="71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65" t="n"/>
      <c r="R498" s="65" t="n"/>
      <c r="S498" s="65" t="n"/>
      <c r="T498" s="65" t="n"/>
      <c r="U498" s="65" t="n"/>
      <c r="V498" s="65" t="n"/>
      <c r="W498" s="65" t="n"/>
      <c r="X498" s="65" t="n"/>
      <c r="Y498" s="65" t="n"/>
      <c r="Z498" s="65" t="n"/>
    </row>
    <row r="499" ht="12.75" customHeight="1" s="85">
      <c r="A499" s="65" t="n"/>
      <c r="B499" s="68" t="n">
        <v>46009</v>
      </c>
      <c r="C499" s="69" t="inlineStr">
        <is>
          <t>USD</t>
        </is>
      </c>
      <c r="D499" s="69" t="n">
        <v>5.5277</v>
      </c>
      <c r="E499" s="69" t="n">
        <v>5.5283</v>
      </c>
      <c r="F499" s="65" t="n"/>
      <c r="G499" s="71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65" t="n"/>
      <c r="R499" s="65" t="n"/>
      <c r="S499" s="65" t="n"/>
      <c r="T499" s="65" t="n"/>
      <c r="U499" s="65" t="n"/>
      <c r="V499" s="65" t="n"/>
      <c r="W499" s="65" t="n"/>
      <c r="X499" s="65" t="n"/>
      <c r="Y499" s="65" t="n"/>
      <c r="Z499" s="65" t="n"/>
    </row>
    <row r="500" ht="12.75" customHeight="1" s="85">
      <c r="A500" s="65" t="n"/>
      <c r="B500" s="68" t="n">
        <v>46010</v>
      </c>
      <c r="C500" s="69" t="inlineStr">
        <is>
          <t>USD</t>
        </is>
      </c>
      <c r="D500" s="69" t="n">
        <v>5.5154</v>
      </c>
      <c r="E500" s="69" t="n">
        <v>5.516</v>
      </c>
      <c r="F500" s="65" t="n"/>
      <c r="G500" s="71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65" t="n"/>
      <c r="R500" s="65" t="n"/>
      <c r="S500" s="65" t="n"/>
      <c r="T500" s="65" t="n"/>
      <c r="U500" s="65" t="n"/>
      <c r="V500" s="65" t="n"/>
      <c r="W500" s="65" t="n"/>
      <c r="X500" s="65" t="n"/>
      <c r="Y500" s="65" t="n"/>
      <c r="Z500" s="65" t="n"/>
    </row>
    <row r="501" ht="12.75" customHeight="1" s="85">
      <c r="A501" s="65" t="n"/>
      <c r="B501" s="68" t="n">
        <v>46013</v>
      </c>
      <c r="C501" s="69" t="inlineStr">
        <is>
          <t>USD</t>
        </is>
      </c>
      <c r="D501" s="69" t="n">
        <v>5.5383</v>
      </c>
      <c r="E501" s="69" t="n">
        <v>5.5389</v>
      </c>
      <c r="F501" s="65" t="n"/>
      <c r="G501" s="71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65" t="n"/>
      <c r="R501" s="65" t="n"/>
      <c r="S501" s="65" t="n"/>
      <c r="T501" s="65" t="n"/>
      <c r="U501" s="65" t="n"/>
      <c r="V501" s="65" t="n"/>
      <c r="W501" s="65" t="n"/>
      <c r="X501" s="65" t="n"/>
      <c r="Y501" s="65" t="n"/>
      <c r="Z501" s="65" t="n"/>
    </row>
    <row r="502" ht="12.75" customHeight="1" s="85">
      <c r="A502" s="65" t="n"/>
      <c r="B502" s="68" t="n">
        <v>46014</v>
      </c>
      <c r="C502" s="69" t="inlineStr">
        <is>
          <t>USD</t>
        </is>
      </c>
      <c r="D502" s="69" t="n">
        <v>5.5637</v>
      </c>
      <c r="E502" s="69" t="n">
        <v>5.5643</v>
      </c>
      <c r="F502" s="65" t="n"/>
      <c r="G502" s="71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65" t="n"/>
      <c r="R502" s="65" t="n"/>
      <c r="S502" s="65" t="n"/>
      <c r="T502" s="65" t="n"/>
      <c r="U502" s="65" t="n"/>
      <c r="V502" s="65" t="n"/>
      <c r="W502" s="65" t="n"/>
      <c r="X502" s="65" t="n"/>
      <c r="Y502" s="65" t="n"/>
      <c r="Z502" s="65" t="n"/>
    </row>
    <row r="503" ht="12.75" customHeight="1" s="85">
      <c r="A503" s="65" t="n"/>
      <c r="B503" s="68" t="n">
        <v>46015</v>
      </c>
      <c r="C503" s="69" t="inlineStr">
        <is>
          <t>USD</t>
        </is>
      </c>
      <c r="D503" s="69" t="n">
        <v>5.5342</v>
      </c>
      <c r="E503" s="69" t="n">
        <v>5.535</v>
      </c>
      <c r="F503" s="65" t="n"/>
      <c r="G503" s="71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65" t="n"/>
      <c r="T503" s="65" t="n"/>
      <c r="U503" s="65" t="n"/>
      <c r="V503" s="65" t="n"/>
      <c r="W503" s="65" t="n"/>
      <c r="X503" s="65" t="n"/>
      <c r="Y503" s="65" t="n"/>
      <c r="Z503" s="65" t="n"/>
    </row>
    <row r="504" ht="12.75" customHeight="1" s="85">
      <c r="A504" s="65" t="n"/>
      <c r="B504" s="68" t="n">
        <v>46017</v>
      </c>
      <c r="C504" s="69" t="inlineStr">
        <is>
          <t>USD</t>
        </is>
      </c>
      <c r="D504" s="69" t="n">
        <v>5.5407</v>
      </c>
      <c r="E504" s="69" t="n">
        <v>5.5413</v>
      </c>
      <c r="F504" s="65" t="n"/>
      <c r="G504" s="71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65" t="n"/>
      <c r="R504" s="65" t="n"/>
      <c r="S504" s="65" t="n"/>
      <c r="T504" s="65" t="n"/>
      <c r="U504" s="65" t="n"/>
      <c r="V504" s="65" t="n"/>
      <c r="W504" s="65" t="n"/>
      <c r="X504" s="65" t="n"/>
      <c r="Y504" s="65" t="n"/>
      <c r="Z504" s="65" t="n"/>
    </row>
    <row r="505" ht="12.75" customHeight="1" s="85">
      <c r="A505" s="65" t="n"/>
      <c r="B505" s="68" t="n">
        <v>46020</v>
      </c>
      <c r="C505" s="69" t="inlineStr">
        <is>
          <t>USD</t>
        </is>
      </c>
      <c r="D505" s="69" t="n">
        <v>5.5733</v>
      </c>
      <c r="E505" s="69" t="n">
        <v>5.5739</v>
      </c>
      <c r="F505" s="65" t="n"/>
      <c r="G505" s="71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65" t="n"/>
      <c r="R505" s="65" t="n"/>
      <c r="S505" s="65" t="n"/>
      <c r="T505" s="65" t="n"/>
      <c r="U505" s="65" t="n"/>
      <c r="V505" s="65" t="n"/>
      <c r="W505" s="65" t="n"/>
      <c r="X505" s="65" t="n"/>
      <c r="Y505" s="65" t="n"/>
      <c r="Z505" s="65" t="n"/>
    </row>
    <row r="506" ht="12.75" customHeight="1" s="85">
      <c r="A506" s="65" t="n"/>
      <c r="B506" s="68" t="n">
        <v>46021</v>
      </c>
      <c r="C506" s="69" t="inlineStr">
        <is>
          <t>USD</t>
        </is>
      </c>
      <c r="D506" s="69" t="n">
        <v>5.5018</v>
      </c>
      <c r="E506" s="69" t="n">
        <v>5.5024</v>
      </c>
      <c r="F506" s="65" t="n"/>
      <c r="G506" s="71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65" t="n"/>
      <c r="R506" s="65" t="n"/>
      <c r="S506" s="65" t="n"/>
      <c r="T506" s="65" t="n"/>
      <c r="U506" s="65" t="n"/>
      <c r="V506" s="65" t="n"/>
      <c r="W506" s="65" t="n"/>
      <c r="X506" s="65" t="n"/>
      <c r="Y506" s="65" t="n"/>
      <c r="Z506" s="65" t="n"/>
    </row>
    <row r="507" ht="12.75" customHeight="1" s="85">
      <c r="A507" s="65" t="n"/>
      <c r="B507" s="68" t="n">
        <v>46022</v>
      </c>
      <c r="C507" s="69" t="inlineStr">
        <is>
          <t>USD</t>
        </is>
      </c>
      <c r="D507" s="69" t="n">
        <v>5.5018</v>
      </c>
      <c r="E507" s="69" t="n">
        <v>5.5024</v>
      </c>
      <c r="F507" s="65" t="n"/>
      <c r="G507" s="71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65" t="n"/>
      <c r="R507" s="65" t="n"/>
      <c r="S507" s="65" t="n"/>
      <c r="T507" s="65" t="n"/>
      <c r="U507" s="65" t="n"/>
      <c r="V507" s="65" t="n"/>
      <c r="W507" s="65" t="n"/>
      <c r="X507" s="65" t="n"/>
      <c r="Y507" s="65" t="n"/>
      <c r="Z507" s="65" t="n"/>
    </row>
    <row r="508" ht="12.75" customHeight="1" s="85">
      <c r="A508" s="65" t="n"/>
      <c r="B508" s="72" t="n"/>
      <c r="C508" s="65" t="n"/>
      <c r="D508" s="65" t="n"/>
      <c r="E508" s="65" t="n"/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65" t="n"/>
      <c r="R508" s="65" t="n"/>
      <c r="S508" s="65" t="n"/>
      <c r="T508" s="65" t="n"/>
      <c r="U508" s="65" t="n"/>
      <c r="V508" s="65" t="n"/>
      <c r="W508" s="65" t="n"/>
      <c r="X508" s="65" t="n"/>
      <c r="Y508" s="65" t="n"/>
      <c r="Z508" s="65" t="n"/>
    </row>
    <row r="509" ht="12.75" customHeight="1" s="85">
      <c r="A509" s="65" t="n"/>
      <c r="B509" s="72" t="n"/>
      <c r="C509" s="65" t="n"/>
      <c r="D509" s="65" t="n"/>
      <c r="E509" s="65" t="n"/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65" t="n"/>
      <c r="R509" s="65" t="n"/>
      <c r="S509" s="65" t="n"/>
      <c r="T509" s="65" t="n"/>
      <c r="U509" s="65" t="n"/>
      <c r="V509" s="65" t="n"/>
      <c r="W509" s="65" t="n"/>
      <c r="X509" s="65" t="n"/>
      <c r="Y509" s="65" t="n"/>
      <c r="Z509" s="65" t="n"/>
    </row>
    <row r="510" ht="12.75" customHeight="1" s="85">
      <c r="A510" s="65" t="n"/>
      <c r="B510" s="72" t="n"/>
      <c r="C510" s="65" t="n"/>
      <c r="D510" s="65" t="n"/>
      <c r="E510" s="65" t="n"/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65" t="n"/>
      <c r="T510" s="65" t="n"/>
      <c r="U510" s="65" t="n"/>
      <c r="V510" s="65" t="n"/>
      <c r="W510" s="65" t="n"/>
      <c r="X510" s="65" t="n"/>
      <c r="Y510" s="65" t="n"/>
      <c r="Z510" s="65" t="n"/>
    </row>
    <row r="511" ht="12.75" customHeight="1" s="85">
      <c r="A511" s="65" t="n"/>
      <c r="B511" s="72" t="n"/>
      <c r="C511" s="65" t="n"/>
      <c r="D511" s="65" t="n"/>
      <c r="E511" s="65" t="n"/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65" t="n"/>
      <c r="T511" s="65" t="n"/>
      <c r="U511" s="65" t="n"/>
      <c r="V511" s="65" t="n"/>
      <c r="W511" s="65" t="n"/>
      <c r="X511" s="65" t="n"/>
      <c r="Y511" s="65" t="n"/>
      <c r="Z511" s="65" t="n"/>
    </row>
    <row r="512" ht="12.75" customHeight="1" s="85">
      <c r="A512" s="65" t="n"/>
      <c r="B512" s="72" t="n"/>
      <c r="C512" s="65" t="n"/>
      <c r="D512" s="65" t="n"/>
      <c r="E512" s="65" t="n"/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65" t="n"/>
      <c r="R512" s="65" t="n"/>
      <c r="S512" s="65" t="n"/>
      <c r="T512" s="65" t="n"/>
      <c r="U512" s="65" t="n"/>
      <c r="V512" s="65" t="n"/>
      <c r="W512" s="65" t="n"/>
      <c r="X512" s="65" t="n"/>
      <c r="Y512" s="65" t="n"/>
      <c r="Z512" s="65" t="n"/>
    </row>
    <row r="513" ht="12.75" customHeight="1" s="85">
      <c r="A513" s="65" t="n"/>
      <c r="B513" s="72" t="n"/>
      <c r="C513" s="65" t="n"/>
      <c r="D513" s="65" t="n"/>
      <c r="E513" s="65" t="n"/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65" t="n"/>
      <c r="T513" s="65" t="n"/>
      <c r="U513" s="65" t="n"/>
      <c r="V513" s="65" t="n"/>
      <c r="W513" s="65" t="n"/>
      <c r="X513" s="65" t="n"/>
      <c r="Y513" s="65" t="n"/>
      <c r="Z513" s="65" t="n"/>
    </row>
    <row r="514" ht="12.75" customHeight="1" s="85">
      <c r="A514" s="65" t="n"/>
      <c r="B514" s="72" t="n"/>
      <c r="C514" s="65" t="n"/>
      <c r="D514" s="65" t="n"/>
      <c r="E514" s="65" t="n"/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65" t="n"/>
      <c r="T514" s="65" t="n"/>
      <c r="U514" s="65" t="n"/>
      <c r="V514" s="65" t="n"/>
      <c r="W514" s="65" t="n"/>
      <c r="X514" s="65" t="n"/>
      <c r="Y514" s="65" t="n"/>
      <c r="Z514" s="65" t="n"/>
    </row>
    <row r="515" ht="12.75" customHeight="1" s="85">
      <c r="A515" s="65" t="n"/>
      <c r="B515" s="72" t="n"/>
      <c r="C515" s="65" t="n"/>
      <c r="D515" s="65" t="n"/>
      <c r="E515" s="65" t="n"/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65" t="n"/>
      <c r="T515" s="65" t="n"/>
      <c r="U515" s="65" t="n"/>
      <c r="V515" s="65" t="n"/>
      <c r="W515" s="65" t="n"/>
      <c r="X515" s="65" t="n"/>
      <c r="Y515" s="65" t="n"/>
      <c r="Z515" s="65" t="n"/>
    </row>
    <row r="516" ht="12.75" customHeight="1" s="85">
      <c r="A516" s="65" t="n"/>
      <c r="B516" s="72" t="n"/>
      <c r="C516" s="65" t="n"/>
      <c r="D516" s="65" t="n"/>
      <c r="E516" s="65" t="n"/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/>
      <c r="S516" s="65" t="n"/>
      <c r="T516" s="65" t="n"/>
      <c r="U516" s="65" t="n"/>
      <c r="V516" s="65" t="n"/>
      <c r="W516" s="65" t="n"/>
      <c r="X516" s="65" t="n"/>
      <c r="Y516" s="65" t="n"/>
      <c r="Z516" s="65" t="n"/>
    </row>
    <row r="517" ht="12.75" customHeight="1" s="85">
      <c r="A517" s="65" t="n"/>
      <c r="B517" s="72" t="n"/>
      <c r="C517" s="65" t="n"/>
      <c r="D517" s="65" t="n"/>
      <c r="E517" s="65" t="n"/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65" t="n"/>
      <c r="T517" s="65" t="n"/>
      <c r="U517" s="65" t="n"/>
      <c r="V517" s="65" t="n"/>
      <c r="W517" s="65" t="n"/>
      <c r="X517" s="65" t="n"/>
      <c r="Y517" s="65" t="n"/>
      <c r="Z517" s="65" t="n"/>
    </row>
    <row r="518" ht="12.75" customHeight="1" s="85">
      <c r="A518" s="65" t="n"/>
      <c r="B518" s="72" t="n"/>
      <c r="C518" s="65" t="n"/>
      <c r="D518" s="65" t="n"/>
      <c r="E518" s="65" t="n"/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65" t="n"/>
      <c r="R518" s="65" t="n"/>
      <c r="S518" s="65" t="n"/>
      <c r="T518" s="65" t="n"/>
      <c r="U518" s="65" t="n"/>
      <c r="V518" s="65" t="n"/>
      <c r="W518" s="65" t="n"/>
      <c r="X518" s="65" t="n"/>
      <c r="Y518" s="65" t="n"/>
      <c r="Z518" s="65" t="n"/>
    </row>
    <row r="519" ht="12.75" customHeight="1" s="85">
      <c r="A519" s="65" t="n"/>
      <c r="B519" s="72" t="n"/>
      <c r="C519" s="65" t="n"/>
      <c r="D519" s="65" t="n"/>
      <c r="E519" s="65" t="n"/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65" t="n"/>
      <c r="R519" s="65" t="n"/>
      <c r="S519" s="65" t="n"/>
      <c r="T519" s="65" t="n"/>
      <c r="U519" s="65" t="n"/>
      <c r="V519" s="65" t="n"/>
      <c r="W519" s="65" t="n"/>
      <c r="X519" s="65" t="n"/>
      <c r="Y519" s="65" t="n"/>
      <c r="Z519" s="65" t="n"/>
    </row>
    <row r="520" ht="12.75" customHeight="1" s="85">
      <c r="A520" s="65" t="n"/>
      <c r="B520" s="72" t="n"/>
      <c r="C520" s="65" t="n"/>
      <c r="D520" s="65" t="n"/>
      <c r="E520" s="65" t="n"/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65" t="n"/>
      <c r="T520" s="65" t="n"/>
      <c r="U520" s="65" t="n"/>
      <c r="V520" s="65" t="n"/>
      <c r="W520" s="65" t="n"/>
      <c r="X520" s="65" t="n"/>
      <c r="Y520" s="65" t="n"/>
      <c r="Z520" s="65" t="n"/>
    </row>
    <row r="521" ht="12.75" customHeight="1" s="85">
      <c r="A521" s="65" t="n"/>
      <c r="B521" s="72" t="n"/>
      <c r="C521" s="65" t="n"/>
      <c r="D521" s="65" t="n"/>
      <c r="E521" s="65" t="n"/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65" t="n"/>
      <c r="R521" s="65" t="n"/>
      <c r="S521" s="65" t="n"/>
      <c r="T521" s="65" t="n"/>
      <c r="U521" s="65" t="n"/>
      <c r="V521" s="65" t="n"/>
      <c r="W521" s="65" t="n"/>
      <c r="X521" s="65" t="n"/>
      <c r="Y521" s="65" t="n"/>
      <c r="Z521" s="65" t="n"/>
    </row>
    <row r="522" ht="12.75" customHeight="1" s="85">
      <c r="A522" s="65" t="n"/>
      <c r="B522" s="72" t="n"/>
      <c r="C522" s="65" t="n"/>
      <c r="D522" s="65" t="n"/>
      <c r="E522" s="65" t="n"/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65" t="n"/>
      <c r="R522" s="65" t="n"/>
      <c r="S522" s="65" t="n"/>
      <c r="T522" s="65" t="n"/>
      <c r="U522" s="65" t="n"/>
      <c r="V522" s="65" t="n"/>
      <c r="W522" s="65" t="n"/>
      <c r="X522" s="65" t="n"/>
      <c r="Y522" s="65" t="n"/>
      <c r="Z522" s="65" t="n"/>
    </row>
    <row r="523" ht="12.75" customHeight="1" s="85">
      <c r="A523" s="65" t="n"/>
      <c r="B523" s="72" t="n"/>
      <c r="C523" s="65" t="n"/>
      <c r="D523" s="65" t="n"/>
      <c r="E523" s="65" t="n"/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65" t="n"/>
      <c r="T523" s="65" t="n"/>
      <c r="U523" s="65" t="n"/>
      <c r="V523" s="65" t="n"/>
      <c r="W523" s="65" t="n"/>
      <c r="X523" s="65" t="n"/>
      <c r="Y523" s="65" t="n"/>
      <c r="Z523" s="65" t="n"/>
    </row>
    <row r="524" ht="12.75" customHeight="1" s="85">
      <c r="A524" s="65" t="n"/>
      <c r="B524" s="72" t="n"/>
      <c r="C524" s="65" t="n"/>
      <c r="D524" s="65" t="n"/>
      <c r="E524" s="65" t="n"/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65" t="n"/>
      <c r="R524" s="65" t="n"/>
      <c r="S524" s="65" t="n"/>
      <c r="T524" s="65" t="n"/>
      <c r="U524" s="65" t="n"/>
      <c r="V524" s="65" t="n"/>
      <c r="W524" s="65" t="n"/>
      <c r="X524" s="65" t="n"/>
      <c r="Y524" s="65" t="n"/>
      <c r="Z524" s="65" t="n"/>
    </row>
    <row r="525" ht="12.75" customHeight="1" s="85">
      <c r="A525" s="65" t="n"/>
      <c r="B525" s="72" t="n"/>
      <c r="C525" s="65" t="n"/>
      <c r="D525" s="65" t="n"/>
      <c r="E525" s="65" t="n"/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65" t="n"/>
      <c r="R525" s="65" t="n"/>
      <c r="S525" s="65" t="n"/>
      <c r="T525" s="65" t="n"/>
      <c r="U525" s="65" t="n"/>
      <c r="V525" s="65" t="n"/>
      <c r="W525" s="65" t="n"/>
      <c r="X525" s="65" t="n"/>
      <c r="Y525" s="65" t="n"/>
      <c r="Z525" s="65" t="n"/>
    </row>
    <row r="526" ht="12.75" customHeight="1" s="85">
      <c r="A526" s="65" t="n"/>
      <c r="B526" s="72" t="n"/>
      <c r="C526" s="65" t="n"/>
      <c r="D526" s="65" t="n"/>
      <c r="E526" s="65" t="n"/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65" t="n"/>
      <c r="R526" s="65" t="n"/>
      <c r="S526" s="65" t="n"/>
      <c r="T526" s="65" t="n"/>
      <c r="U526" s="65" t="n"/>
      <c r="V526" s="65" t="n"/>
      <c r="W526" s="65" t="n"/>
      <c r="X526" s="65" t="n"/>
      <c r="Y526" s="65" t="n"/>
      <c r="Z526" s="65" t="n"/>
    </row>
    <row r="527" ht="12.75" customHeight="1" s="85">
      <c r="A527" s="65" t="n"/>
      <c r="B527" s="72" t="n"/>
      <c r="C527" s="65" t="n"/>
      <c r="D527" s="65" t="n"/>
      <c r="E527" s="65" t="n"/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65" t="n"/>
      <c r="R527" s="65" t="n"/>
      <c r="S527" s="65" t="n"/>
      <c r="T527" s="65" t="n"/>
      <c r="U527" s="65" t="n"/>
      <c r="V527" s="65" t="n"/>
      <c r="W527" s="65" t="n"/>
      <c r="X527" s="65" t="n"/>
      <c r="Y527" s="65" t="n"/>
      <c r="Z527" s="65" t="n"/>
    </row>
    <row r="528" ht="12.75" customHeight="1" s="85">
      <c r="A528" s="65" t="n"/>
      <c r="B528" s="72" t="n"/>
      <c r="C528" s="65" t="n"/>
      <c r="D528" s="65" t="n"/>
      <c r="E528" s="65" t="n"/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65" t="n"/>
      <c r="T528" s="65" t="n"/>
      <c r="U528" s="65" t="n"/>
      <c r="V528" s="65" t="n"/>
      <c r="W528" s="65" t="n"/>
      <c r="X528" s="65" t="n"/>
      <c r="Y528" s="65" t="n"/>
      <c r="Z528" s="65" t="n"/>
    </row>
    <row r="529" ht="12.75" customHeight="1" s="85">
      <c r="A529" s="65" t="n"/>
      <c r="B529" s="72" t="n"/>
      <c r="C529" s="65" t="n"/>
      <c r="D529" s="65" t="n"/>
      <c r="E529" s="65" t="n"/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65" t="n"/>
      <c r="T529" s="65" t="n"/>
      <c r="U529" s="65" t="n"/>
      <c r="V529" s="65" t="n"/>
      <c r="W529" s="65" t="n"/>
      <c r="X529" s="65" t="n"/>
      <c r="Y529" s="65" t="n"/>
      <c r="Z529" s="65" t="n"/>
    </row>
    <row r="530" ht="12.75" customHeight="1" s="85">
      <c r="A530" s="65" t="n"/>
      <c r="B530" s="72" t="n"/>
      <c r="C530" s="65" t="n"/>
      <c r="D530" s="65" t="n"/>
      <c r="E530" s="65" t="n"/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65" t="n"/>
      <c r="T530" s="65" t="n"/>
      <c r="U530" s="65" t="n"/>
      <c r="V530" s="65" t="n"/>
      <c r="W530" s="65" t="n"/>
      <c r="X530" s="65" t="n"/>
      <c r="Y530" s="65" t="n"/>
      <c r="Z530" s="65" t="n"/>
    </row>
    <row r="531" ht="12.75" customHeight="1" s="85">
      <c r="A531" s="65" t="n"/>
      <c r="B531" s="72" t="n"/>
      <c r="C531" s="65" t="n"/>
      <c r="D531" s="65" t="n"/>
      <c r="E531" s="65" t="n"/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65" t="n"/>
      <c r="T531" s="65" t="n"/>
      <c r="U531" s="65" t="n"/>
      <c r="V531" s="65" t="n"/>
      <c r="W531" s="65" t="n"/>
      <c r="X531" s="65" t="n"/>
      <c r="Y531" s="65" t="n"/>
      <c r="Z531" s="65" t="n"/>
    </row>
    <row r="532" ht="12.75" customHeight="1" s="85">
      <c r="A532" s="65" t="n"/>
      <c r="B532" s="72" t="n"/>
      <c r="C532" s="65" t="n"/>
      <c r="D532" s="65" t="n"/>
      <c r="E532" s="65" t="n"/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65" t="n"/>
      <c r="T532" s="65" t="n"/>
      <c r="U532" s="65" t="n"/>
      <c r="V532" s="65" t="n"/>
      <c r="W532" s="65" t="n"/>
      <c r="X532" s="65" t="n"/>
      <c r="Y532" s="65" t="n"/>
      <c r="Z532" s="65" t="n"/>
    </row>
    <row r="533" ht="12.75" customHeight="1" s="85">
      <c r="A533" s="65" t="n"/>
      <c r="B533" s="72" t="n"/>
      <c r="C533" s="65" t="n"/>
      <c r="D533" s="65" t="n"/>
      <c r="E533" s="65" t="n"/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65" t="n"/>
      <c r="T533" s="65" t="n"/>
      <c r="U533" s="65" t="n"/>
      <c r="V533" s="65" t="n"/>
      <c r="W533" s="65" t="n"/>
      <c r="X533" s="65" t="n"/>
      <c r="Y533" s="65" t="n"/>
      <c r="Z533" s="65" t="n"/>
    </row>
    <row r="534" ht="12.75" customHeight="1" s="85">
      <c r="A534" s="65" t="n"/>
      <c r="B534" s="72" t="n"/>
      <c r="C534" s="65" t="n"/>
      <c r="D534" s="65" t="n"/>
      <c r="E534" s="65" t="n"/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65" t="n"/>
      <c r="T534" s="65" t="n"/>
      <c r="U534" s="65" t="n"/>
      <c r="V534" s="65" t="n"/>
      <c r="W534" s="65" t="n"/>
      <c r="X534" s="65" t="n"/>
      <c r="Y534" s="65" t="n"/>
      <c r="Z534" s="65" t="n"/>
    </row>
    <row r="535" ht="12.75" customHeight="1" s="85">
      <c r="A535" s="65" t="n"/>
      <c r="B535" s="72" t="n"/>
      <c r="C535" s="65" t="n"/>
      <c r="D535" s="65" t="n"/>
      <c r="E535" s="65" t="n"/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65" t="n"/>
      <c r="R535" s="65" t="n"/>
      <c r="S535" s="65" t="n"/>
      <c r="T535" s="65" t="n"/>
      <c r="U535" s="65" t="n"/>
      <c r="V535" s="65" t="n"/>
      <c r="W535" s="65" t="n"/>
      <c r="X535" s="65" t="n"/>
      <c r="Y535" s="65" t="n"/>
      <c r="Z535" s="65" t="n"/>
    </row>
    <row r="536" ht="12.75" customHeight="1" s="85">
      <c r="A536" s="65" t="n"/>
      <c r="B536" s="72" t="n"/>
      <c r="C536" s="65" t="n"/>
      <c r="D536" s="65" t="n"/>
      <c r="E536" s="65" t="n"/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65" t="n"/>
      <c r="R536" s="65" t="n"/>
      <c r="S536" s="65" t="n"/>
      <c r="T536" s="65" t="n"/>
      <c r="U536" s="65" t="n"/>
      <c r="V536" s="65" t="n"/>
      <c r="W536" s="65" t="n"/>
      <c r="X536" s="65" t="n"/>
      <c r="Y536" s="65" t="n"/>
      <c r="Z536" s="65" t="n"/>
    </row>
    <row r="537" ht="12.75" customHeight="1" s="85">
      <c r="A537" s="65" t="n"/>
      <c r="B537" s="72" t="n"/>
      <c r="C537" s="65" t="n"/>
      <c r="D537" s="65" t="n"/>
      <c r="E537" s="65" t="n"/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65" t="n"/>
      <c r="R537" s="65" t="n"/>
      <c r="S537" s="65" t="n"/>
      <c r="T537" s="65" t="n"/>
      <c r="U537" s="65" t="n"/>
      <c r="V537" s="65" t="n"/>
      <c r="W537" s="65" t="n"/>
      <c r="X537" s="65" t="n"/>
      <c r="Y537" s="65" t="n"/>
      <c r="Z537" s="65" t="n"/>
    </row>
    <row r="538" ht="12.75" customHeight="1" s="85">
      <c r="A538" s="65" t="n"/>
      <c r="B538" s="72" t="n"/>
      <c r="C538" s="65" t="n"/>
      <c r="D538" s="65" t="n"/>
      <c r="E538" s="65" t="n"/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65" t="n"/>
      <c r="R538" s="65" t="n"/>
      <c r="S538" s="65" t="n"/>
      <c r="T538" s="65" t="n"/>
      <c r="U538" s="65" t="n"/>
      <c r="V538" s="65" t="n"/>
      <c r="W538" s="65" t="n"/>
      <c r="X538" s="65" t="n"/>
      <c r="Y538" s="65" t="n"/>
      <c r="Z538" s="65" t="n"/>
    </row>
    <row r="539" ht="12.75" customHeight="1" s="85">
      <c r="A539" s="65" t="n"/>
      <c r="B539" s="72" t="n"/>
      <c r="C539" s="65" t="n"/>
      <c r="D539" s="65" t="n"/>
      <c r="E539" s="65" t="n"/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65" t="n"/>
      <c r="R539" s="65" t="n"/>
      <c r="S539" s="65" t="n"/>
      <c r="T539" s="65" t="n"/>
      <c r="U539" s="65" t="n"/>
      <c r="V539" s="65" t="n"/>
      <c r="W539" s="65" t="n"/>
      <c r="X539" s="65" t="n"/>
      <c r="Y539" s="65" t="n"/>
      <c r="Z539" s="65" t="n"/>
    </row>
    <row r="540" ht="12.75" customHeight="1" s="85">
      <c r="A540" s="65" t="n"/>
      <c r="B540" s="72" t="n"/>
      <c r="C540" s="65" t="n"/>
      <c r="D540" s="65" t="n"/>
      <c r="E540" s="65" t="n"/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65" t="n"/>
      <c r="R540" s="65" t="n"/>
      <c r="S540" s="65" t="n"/>
      <c r="T540" s="65" t="n"/>
      <c r="U540" s="65" t="n"/>
      <c r="V540" s="65" t="n"/>
      <c r="W540" s="65" t="n"/>
      <c r="X540" s="65" t="n"/>
      <c r="Y540" s="65" t="n"/>
      <c r="Z540" s="65" t="n"/>
    </row>
    <row r="541" ht="12.75" customHeight="1" s="85">
      <c r="A541" s="65" t="n"/>
      <c r="B541" s="72" t="n"/>
      <c r="C541" s="65" t="n"/>
      <c r="D541" s="65" t="n"/>
      <c r="E541" s="65" t="n"/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65" t="n"/>
      <c r="R541" s="65" t="n"/>
      <c r="S541" s="65" t="n"/>
      <c r="T541" s="65" t="n"/>
      <c r="U541" s="65" t="n"/>
      <c r="V541" s="65" t="n"/>
      <c r="W541" s="65" t="n"/>
      <c r="X541" s="65" t="n"/>
      <c r="Y541" s="65" t="n"/>
      <c r="Z541" s="65" t="n"/>
    </row>
    <row r="542" ht="12.75" customHeight="1" s="85">
      <c r="A542" s="65" t="n"/>
      <c r="B542" s="72" t="n"/>
      <c r="C542" s="65" t="n"/>
      <c r="D542" s="65" t="n"/>
      <c r="E542" s="65" t="n"/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65" t="n"/>
      <c r="R542" s="65" t="n"/>
      <c r="S542" s="65" t="n"/>
      <c r="T542" s="65" t="n"/>
      <c r="U542" s="65" t="n"/>
      <c r="V542" s="65" t="n"/>
      <c r="W542" s="65" t="n"/>
      <c r="X542" s="65" t="n"/>
      <c r="Y542" s="65" t="n"/>
      <c r="Z542" s="65" t="n"/>
    </row>
    <row r="543" ht="12.75" customHeight="1" s="85">
      <c r="A543" s="65" t="n"/>
      <c r="B543" s="72" t="n"/>
      <c r="C543" s="65" t="n"/>
      <c r="D543" s="65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65" t="n"/>
      <c r="R543" s="65" t="n"/>
      <c r="S543" s="65" t="n"/>
      <c r="T543" s="65" t="n"/>
      <c r="U543" s="65" t="n"/>
      <c r="V543" s="65" t="n"/>
      <c r="W543" s="65" t="n"/>
      <c r="X543" s="65" t="n"/>
      <c r="Y543" s="65" t="n"/>
      <c r="Z543" s="65" t="n"/>
    </row>
    <row r="544" ht="12.75" customHeight="1" s="85">
      <c r="A544" s="65" t="n"/>
      <c r="B544" s="72" t="n"/>
      <c r="C544" s="65" t="n"/>
      <c r="D544" s="65" t="n"/>
      <c r="E544" s="65" t="n"/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65" t="n"/>
      <c r="R544" s="65" t="n"/>
      <c r="S544" s="65" t="n"/>
      <c r="T544" s="65" t="n"/>
      <c r="U544" s="65" t="n"/>
      <c r="V544" s="65" t="n"/>
      <c r="W544" s="65" t="n"/>
      <c r="X544" s="65" t="n"/>
      <c r="Y544" s="65" t="n"/>
      <c r="Z544" s="65" t="n"/>
    </row>
    <row r="545" ht="12.75" customHeight="1" s="85">
      <c r="A545" s="65" t="n"/>
      <c r="B545" s="72" t="n"/>
      <c r="C545" s="65" t="n"/>
      <c r="D545" s="65" t="n"/>
      <c r="E545" s="65" t="n"/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65" t="n"/>
      <c r="T545" s="65" t="n"/>
      <c r="U545" s="65" t="n"/>
      <c r="V545" s="65" t="n"/>
      <c r="W545" s="65" t="n"/>
      <c r="X545" s="65" t="n"/>
      <c r="Y545" s="65" t="n"/>
      <c r="Z545" s="65" t="n"/>
    </row>
    <row r="546" ht="12.75" customHeight="1" s="85">
      <c r="A546" s="65" t="n"/>
      <c r="B546" s="72" t="n"/>
      <c r="C546" s="65" t="n"/>
      <c r="D546" s="65" t="n"/>
      <c r="E546" s="65" t="n"/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65" t="n"/>
      <c r="R546" s="65" t="n"/>
      <c r="S546" s="65" t="n"/>
      <c r="T546" s="65" t="n"/>
      <c r="U546" s="65" t="n"/>
      <c r="V546" s="65" t="n"/>
      <c r="W546" s="65" t="n"/>
      <c r="X546" s="65" t="n"/>
      <c r="Y546" s="65" t="n"/>
      <c r="Z546" s="65" t="n"/>
    </row>
    <row r="547" ht="12.75" customHeight="1" s="85">
      <c r="A547" s="65" t="n"/>
      <c r="B547" s="72" t="n"/>
      <c r="C547" s="65" t="n"/>
      <c r="D547" s="65" t="n"/>
      <c r="E547" s="65" t="n"/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65" t="n"/>
      <c r="R547" s="65" t="n"/>
      <c r="S547" s="65" t="n"/>
      <c r="T547" s="65" t="n"/>
      <c r="U547" s="65" t="n"/>
      <c r="V547" s="65" t="n"/>
      <c r="W547" s="65" t="n"/>
      <c r="X547" s="65" t="n"/>
      <c r="Y547" s="65" t="n"/>
      <c r="Z547" s="65" t="n"/>
    </row>
    <row r="548" ht="12.75" customHeight="1" s="85">
      <c r="A548" s="65" t="n"/>
      <c r="B548" s="72" t="n"/>
      <c r="C548" s="65" t="n"/>
      <c r="D548" s="65" t="n"/>
      <c r="E548" s="65" t="n"/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65" t="n"/>
      <c r="R548" s="65" t="n"/>
      <c r="S548" s="65" t="n"/>
      <c r="T548" s="65" t="n"/>
      <c r="U548" s="65" t="n"/>
      <c r="V548" s="65" t="n"/>
      <c r="W548" s="65" t="n"/>
      <c r="X548" s="65" t="n"/>
      <c r="Y548" s="65" t="n"/>
      <c r="Z548" s="65" t="n"/>
    </row>
    <row r="549" ht="12.75" customHeight="1" s="85">
      <c r="A549" s="65" t="n"/>
      <c r="B549" s="72" t="n"/>
      <c r="C549" s="65" t="n"/>
      <c r="D549" s="65" t="n"/>
      <c r="E549" s="65" t="n"/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65" t="n"/>
      <c r="R549" s="65" t="n"/>
      <c r="S549" s="65" t="n"/>
      <c r="T549" s="65" t="n"/>
      <c r="U549" s="65" t="n"/>
      <c r="V549" s="65" t="n"/>
      <c r="W549" s="65" t="n"/>
      <c r="X549" s="65" t="n"/>
      <c r="Y549" s="65" t="n"/>
      <c r="Z549" s="65" t="n"/>
    </row>
    <row r="550" ht="12.75" customHeight="1" s="85">
      <c r="A550" s="65" t="n"/>
      <c r="B550" s="72" t="n"/>
      <c r="C550" s="65" t="n"/>
      <c r="D550" s="65" t="n"/>
      <c r="E550" s="65" t="n"/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65" t="n"/>
      <c r="T550" s="65" t="n"/>
      <c r="U550" s="65" t="n"/>
      <c r="V550" s="65" t="n"/>
      <c r="W550" s="65" t="n"/>
      <c r="X550" s="65" t="n"/>
      <c r="Y550" s="65" t="n"/>
      <c r="Z550" s="65" t="n"/>
    </row>
    <row r="551" ht="12.75" customHeight="1" s="85">
      <c r="A551" s="65" t="n"/>
      <c r="B551" s="72" t="n"/>
      <c r="C551" s="65" t="n"/>
      <c r="D551" s="65" t="n"/>
      <c r="E551" s="65" t="n"/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65" t="n"/>
      <c r="R551" s="65" t="n"/>
      <c r="S551" s="65" t="n"/>
      <c r="T551" s="65" t="n"/>
      <c r="U551" s="65" t="n"/>
      <c r="V551" s="65" t="n"/>
      <c r="W551" s="65" t="n"/>
      <c r="X551" s="65" t="n"/>
      <c r="Y551" s="65" t="n"/>
      <c r="Z551" s="65" t="n"/>
    </row>
    <row r="552" ht="12.75" customHeight="1" s="85">
      <c r="A552" s="65" t="n"/>
      <c r="B552" s="72" t="n"/>
      <c r="C552" s="65" t="n"/>
      <c r="D552" s="65" t="n"/>
      <c r="E552" s="65" t="n"/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65" t="n"/>
      <c r="R552" s="65" t="n"/>
      <c r="S552" s="65" t="n"/>
      <c r="T552" s="65" t="n"/>
      <c r="U552" s="65" t="n"/>
      <c r="V552" s="65" t="n"/>
      <c r="W552" s="65" t="n"/>
      <c r="X552" s="65" t="n"/>
      <c r="Y552" s="65" t="n"/>
      <c r="Z552" s="65" t="n"/>
    </row>
    <row r="553" ht="12.75" customHeight="1" s="85">
      <c r="A553" s="65" t="n"/>
      <c r="B553" s="72" t="n"/>
      <c r="C553" s="65" t="n"/>
      <c r="D553" s="65" t="n"/>
      <c r="E553" s="65" t="n"/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65" t="n"/>
      <c r="R553" s="65" t="n"/>
      <c r="S553" s="65" t="n"/>
      <c r="T553" s="65" t="n"/>
      <c r="U553" s="65" t="n"/>
      <c r="V553" s="65" t="n"/>
      <c r="W553" s="65" t="n"/>
      <c r="X553" s="65" t="n"/>
      <c r="Y553" s="65" t="n"/>
      <c r="Z553" s="65" t="n"/>
    </row>
    <row r="554" ht="12.75" customHeight="1" s="85">
      <c r="A554" s="65" t="n"/>
      <c r="B554" s="72" t="n"/>
      <c r="C554" s="65" t="n"/>
      <c r="D554" s="65" t="n"/>
      <c r="E554" s="65" t="n"/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65" t="n"/>
      <c r="R554" s="65" t="n"/>
      <c r="S554" s="65" t="n"/>
      <c r="T554" s="65" t="n"/>
      <c r="U554" s="65" t="n"/>
      <c r="V554" s="65" t="n"/>
      <c r="W554" s="65" t="n"/>
      <c r="X554" s="65" t="n"/>
      <c r="Y554" s="65" t="n"/>
      <c r="Z554" s="65" t="n"/>
    </row>
    <row r="555" ht="12.75" customHeight="1" s="85">
      <c r="A555" s="65" t="n"/>
      <c r="B555" s="72" t="n"/>
      <c r="C555" s="65" t="n"/>
      <c r="D555" s="65" t="n"/>
      <c r="E555" s="65" t="n"/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65" t="n"/>
      <c r="R555" s="65" t="n"/>
      <c r="S555" s="65" t="n"/>
      <c r="T555" s="65" t="n"/>
      <c r="U555" s="65" t="n"/>
      <c r="V555" s="65" t="n"/>
      <c r="W555" s="65" t="n"/>
      <c r="X555" s="65" t="n"/>
      <c r="Y555" s="65" t="n"/>
      <c r="Z555" s="65" t="n"/>
    </row>
    <row r="556" ht="12.75" customHeight="1" s="85">
      <c r="A556" s="65" t="n"/>
      <c r="B556" s="72" t="n"/>
      <c r="C556" s="65" t="n"/>
      <c r="D556" s="65" t="n"/>
      <c r="E556" s="65" t="n"/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65" t="n"/>
      <c r="T556" s="65" t="n"/>
      <c r="U556" s="65" t="n"/>
      <c r="V556" s="65" t="n"/>
      <c r="W556" s="65" t="n"/>
      <c r="X556" s="65" t="n"/>
      <c r="Y556" s="65" t="n"/>
      <c r="Z556" s="65" t="n"/>
    </row>
    <row r="557" ht="12.75" customHeight="1" s="85">
      <c r="A557" s="65" t="n"/>
      <c r="B557" s="72" t="n"/>
      <c r="C557" s="65" t="n"/>
      <c r="D557" s="65" t="n"/>
      <c r="E557" s="65" t="n"/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65" t="n"/>
      <c r="R557" s="65" t="n"/>
      <c r="S557" s="65" t="n"/>
      <c r="T557" s="65" t="n"/>
      <c r="U557" s="65" t="n"/>
      <c r="V557" s="65" t="n"/>
      <c r="W557" s="65" t="n"/>
      <c r="X557" s="65" t="n"/>
      <c r="Y557" s="65" t="n"/>
      <c r="Z557" s="65" t="n"/>
    </row>
    <row r="558" ht="12.75" customHeight="1" s="85">
      <c r="A558" s="65" t="n"/>
      <c r="B558" s="72" t="n"/>
      <c r="C558" s="65" t="n"/>
      <c r="D558" s="65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65" t="n"/>
      <c r="R558" s="65" t="n"/>
      <c r="S558" s="65" t="n"/>
      <c r="T558" s="65" t="n"/>
      <c r="U558" s="65" t="n"/>
      <c r="V558" s="65" t="n"/>
      <c r="W558" s="65" t="n"/>
      <c r="X558" s="65" t="n"/>
      <c r="Y558" s="65" t="n"/>
      <c r="Z558" s="65" t="n"/>
    </row>
    <row r="559" ht="12.75" customHeight="1" s="85">
      <c r="A559" s="65" t="n"/>
      <c r="B559" s="72" t="n"/>
      <c r="C559" s="65" t="n"/>
      <c r="D559" s="65" t="n"/>
      <c r="E559" s="65" t="n"/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65" t="n"/>
      <c r="R559" s="65" t="n"/>
      <c r="S559" s="65" t="n"/>
      <c r="T559" s="65" t="n"/>
      <c r="U559" s="65" t="n"/>
      <c r="V559" s="65" t="n"/>
      <c r="W559" s="65" t="n"/>
      <c r="X559" s="65" t="n"/>
      <c r="Y559" s="65" t="n"/>
      <c r="Z559" s="65" t="n"/>
    </row>
    <row r="560" ht="12.75" customHeight="1" s="85">
      <c r="A560" s="65" t="n"/>
      <c r="B560" s="72" t="n"/>
      <c r="C560" s="65" t="n"/>
      <c r="D560" s="65" t="n"/>
      <c r="E560" s="65" t="n"/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65" t="n"/>
      <c r="R560" s="65" t="n"/>
      <c r="S560" s="65" t="n"/>
      <c r="T560" s="65" t="n"/>
      <c r="U560" s="65" t="n"/>
      <c r="V560" s="65" t="n"/>
      <c r="W560" s="65" t="n"/>
      <c r="X560" s="65" t="n"/>
      <c r="Y560" s="65" t="n"/>
      <c r="Z560" s="65" t="n"/>
    </row>
    <row r="561" ht="12.75" customHeight="1" s="85">
      <c r="A561" s="65" t="n"/>
      <c r="B561" s="72" t="n"/>
      <c r="C561" s="65" t="n"/>
      <c r="D561" s="65" t="n"/>
      <c r="E561" s="65" t="n"/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65" t="n"/>
      <c r="R561" s="65" t="n"/>
      <c r="S561" s="65" t="n"/>
      <c r="T561" s="65" t="n"/>
      <c r="U561" s="65" t="n"/>
      <c r="V561" s="65" t="n"/>
      <c r="W561" s="65" t="n"/>
      <c r="X561" s="65" t="n"/>
      <c r="Y561" s="65" t="n"/>
      <c r="Z561" s="65" t="n"/>
    </row>
    <row r="562" ht="12.75" customHeight="1" s="85">
      <c r="A562" s="65" t="n"/>
      <c r="B562" s="72" t="n"/>
      <c r="C562" s="65" t="n"/>
      <c r="D562" s="65" t="n"/>
      <c r="E562" s="65" t="n"/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65" t="n"/>
      <c r="R562" s="65" t="n"/>
      <c r="S562" s="65" t="n"/>
      <c r="T562" s="65" t="n"/>
      <c r="U562" s="65" t="n"/>
      <c r="V562" s="65" t="n"/>
      <c r="W562" s="65" t="n"/>
      <c r="X562" s="65" t="n"/>
      <c r="Y562" s="65" t="n"/>
      <c r="Z562" s="65" t="n"/>
    </row>
    <row r="563" ht="12.75" customHeight="1" s="85">
      <c r="A563" s="65" t="n"/>
      <c r="B563" s="72" t="n"/>
      <c r="C563" s="65" t="n"/>
      <c r="D563" s="65" t="n"/>
      <c r="E563" s="65" t="n"/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65" t="n"/>
      <c r="R563" s="65" t="n"/>
      <c r="S563" s="65" t="n"/>
      <c r="T563" s="65" t="n"/>
      <c r="U563" s="65" t="n"/>
      <c r="V563" s="65" t="n"/>
      <c r="W563" s="65" t="n"/>
      <c r="X563" s="65" t="n"/>
      <c r="Y563" s="65" t="n"/>
      <c r="Z563" s="65" t="n"/>
    </row>
    <row r="564" ht="12.75" customHeight="1" s="85">
      <c r="A564" s="65" t="n"/>
      <c r="B564" s="72" t="n"/>
      <c r="C564" s="65" t="n"/>
      <c r="D564" s="65" t="n"/>
      <c r="E564" s="65" t="n"/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65" t="n"/>
      <c r="R564" s="65" t="n"/>
      <c r="S564" s="65" t="n"/>
      <c r="T564" s="65" t="n"/>
      <c r="U564" s="65" t="n"/>
      <c r="V564" s="65" t="n"/>
      <c r="W564" s="65" t="n"/>
      <c r="X564" s="65" t="n"/>
      <c r="Y564" s="65" t="n"/>
      <c r="Z564" s="65" t="n"/>
    </row>
    <row r="565" ht="12.75" customHeight="1" s="85">
      <c r="A565" s="65" t="n"/>
      <c r="B565" s="72" t="n"/>
      <c r="C565" s="65" t="n"/>
      <c r="D565" s="65" t="n"/>
      <c r="E565" s="65" t="n"/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65" t="n"/>
      <c r="T565" s="65" t="n"/>
      <c r="U565" s="65" t="n"/>
      <c r="V565" s="65" t="n"/>
      <c r="W565" s="65" t="n"/>
      <c r="X565" s="65" t="n"/>
      <c r="Y565" s="65" t="n"/>
      <c r="Z565" s="65" t="n"/>
    </row>
    <row r="566" ht="12.75" customHeight="1" s="85">
      <c r="A566" s="65" t="n"/>
      <c r="B566" s="72" t="n"/>
      <c r="C566" s="65" t="n"/>
      <c r="D566" s="65" t="n"/>
      <c r="E566" s="65" t="n"/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65" t="n"/>
      <c r="R566" s="65" t="n"/>
      <c r="S566" s="65" t="n"/>
      <c r="T566" s="65" t="n"/>
      <c r="U566" s="65" t="n"/>
      <c r="V566" s="65" t="n"/>
      <c r="W566" s="65" t="n"/>
      <c r="X566" s="65" t="n"/>
      <c r="Y566" s="65" t="n"/>
      <c r="Z566" s="65" t="n"/>
    </row>
    <row r="567" ht="12.75" customHeight="1" s="85">
      <c r="A567" s="65" t="n"/>
      <c r="B567" s="72" t="n"/>
      <c r="C567" s="65" t="n"/>
      <c r="D567" s="65" t="n"/>
      <c r="E567" s="65" t="n"/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65" t="n"/>
      <c r="R567" s="65" t="n"/>
      <c r="S567" s="65" t="n"/>
      <c r="T567" s="65" t="n"/>
      <c r="U567" s="65" t="n"/>
      <c r="V567" s="65" t="n"/>
      <c r="W567" s="65" t="n"/>
      <c r="X567" s="65" t="n"/>
      <c r="Y567" s="65" t="n"/>
      <c r="Z567" s="65" t="n"/>
    </row>
    <row r="568" ht="12.75" customHeight="1" s="85">
      <c r="A568" s="65" t="n"/>
      <c r="B568" s="72" t="n"/>
      <c r="C568" s="65" t="n"/>
      <c r="D568" s="65" t="n"/>
      <c r="E568" s="65" t="n"/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65" t="n"/>
      <c r="R568" s="65" t="n"/>
      <c r="S568" s="65" t="n"/>
      <c r="T568" s="65" t="n"/>
      <c r="U568" s="65" t="n"/>
      <c r="V568" s="65" t="n"/>
      <c r="W568" s="65" t="n"/>
      <c r="X568" s="65" t="n"/>
      <c r="Y568" s="65" t="n"/>
      <c r="Z568" s="65" t="n"/>
    </row>
    <row r="569" ht="12.75" customHeight="1" s="85">
      <c r="A569" s="65" t="n"/>
      <c r="B569" s="72" t="n"/>
      <c r="C569" s="65" t="n"/>
      <c r="D569" s="65" t="n"/>
      <c r="E569" s="65" t="n"/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65" t="n"/>
      <c r="R569" s="65" t="n"/>
      <c r="S569" s="65" t="n"/>
      <c r="T569" s="65" t="n"/>
      <c r="U569" s="65" t="n"/>
      <c r="V569" s="65" t="n"/>
      <c r="W569" s="65" t="n"/>
      <c r="X569" s="65" t="n"/>
      <c r="Y569" s="65" t="n"/>
      <c r="Z569" s="65" t="n"/>
    </row>
    <row r="570" ht="12.75" customHeight="1" s="85">
      <c r="A570" s="65" t="n"/>
      <c r="B570" s="72" t="n"/>
      <c r="C570" s="65" t="n"/>
      <c r="D570" s="65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65" t="n"/>
      <c r="R570" s="65" t="n"/>
      <c r="S570" s="65" t="n"/>
      <c r="T570" s="65" t="n"/>
      <c r="U570" s="65" t="n"/>
      <c r="V570" s="65" t="n"/>
      <c r="W570" s="65" t="n"/>
      <c r="X570" s="65" t="n"/>
      <c r="Y570" s="65" t="n"/>
      <c r="Z570" s="65" t="n"/>
    </row>
    <row r="571" ht="12.75" customHeight="1" s="85">
      <c r="A571" s="65" t="n"/>
      <c r="B571" s="72" t="n"/>
      <c r="C571" s="65" t="n"/>
      <c r="D571" s="65" t="n"/>
      <c r="E571" s="65" t="n"/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65" t="n"/>
      <c r="R571" s="65" t="n"/>
      <c r="S571" s="65" t="n"/>
      <c r="T571" s="65" t="n"/>
      <c r="U571" s="65" t="n"/>
      <c r="V571" s="65" t="n"/>
      <c r="W571" s="65" t="n"/>
      <c r="X571" s="65" t="n"/>
      <c r="Y571" s="65" t="n"/>
      <c r="Z571" s="65" t="n"/>
    </row>
    <row r="572" ht="12.75" customHeight="1" s="85">
      <c r="A572" s="65" t="n"/>
      <c r="B572" s="72" t="n"/>
      <c r="C572" s="65" t="n"/>
      <c r="D572" s="65" t="n"/>
      <c r="E572" s="65" t="n"/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65" t="n"/>
      <c r="R572" s="65" t="n"/>
      <c r="S572" s="65" t="n"/>
      <c r="T572" s="65" t="n"/>
      <c r="U572" s="65" t="n"/>
      <c r="V572" s="65" t="n"/>
      <c r="W572" s="65" t="n"/>
      <c r="X572" s="65" t="n"/>
      <c r="Y572" s="65" t="n"/>
      <c r="Z572" s="65" t="n"/>
    </row>
    <row r="573" ht="12.75" customHeight="1" s="85">
      <c r="A573" s="65" t="n"/>
      <c r="B573" s="72" t="n"/>
      <c r="C573" s="65" t="n"/>
      <c r="D573" s="65" t="n"/>
      <c r="E573" s="65" t="n"/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65" t="n"/>
      <c r="R573" s="65" t="n"/>
      <c r="S573" s="65" t="n"/>
      <c r="T573" s="65" t="n"/>
      <c r="U573" s="65" t="n"/>
      <c r="V573" s="65" t="n"/>
      <c r="W573" s="65" t="n"/>
      <c r="X573" s="65" t="n"/>
      <c r="Y573" s="65" t="n"/>
      <c r="Z573" s="65" t="n"/>
    </row>
    <row r="574" ht="12.75" customHeight="1" s="85">
      <c r="A574" s="65" t="n"/>
      <c r="B574" s="72" t="n"/>
      <c r="C574" s="65" t="n"/>
      <c r="D574" s="65" t="n"/>
      <c r="E574" s="65" t="n"/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65" t="n"/>
      <c r="R574" s="65" t="n"/>
      <c r="S574" s="65" t="n"/>
      <c r="T574" s="65" t="n"/>
      <c r="U574" s="65" t="n"/>
      <c r="V574" s="65" t="n"/>
      <c r="W574" s="65" t="n"/>
      <c r="X574" s="65" t="n"/>
      <c r="Y574" s="65" t="n"/>
      <c r="Z574" s="65" t="n"/>
    </row>
    <row r="575" ht="12.75" customHeight="1" s="85">
      <c r="A575" s="65" t="n"/>
      <c r="B575" s="72" t="n"/>
      <c r="C575" s="65" t="n"/>
      <c r="D575" s="65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65" t="n"/>
      <c r="R575" s="65" t="n"/>
      <c r="S575" s="65" t="n"/>
      <c r="T575" s="65" t="n"/>
      <c r="U575" s="65" t="n"/>
      <c r="V575" s="65" t="n"/>
      <c r="W575" s="65" t="n"/>
      <c r="X575" s="65" t="n"/>
      <c r="Y575" s="65" t="n"/>
      <c r="Z575" s="65" t="n"/>
    </row>
    <row r="576" ht="12.75" customHeight="1" s="85">
      <c r="A576" s="65" t="n"/>
      <c r="B576" s="72" t="n"/>
      <c r="C576" s="65" t="n"/>
      <c r="D576" s="65" t="n"/>
      <c r="E576" s="65" t="n"/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65" t="n"/>
      <c r="R576" s="65" t="n"/>
      <c r="S576" s="65" t="n"/>
      <c r="T576" s="65" t="n"/>
      <c r="U576" s="65" t="n"/>
      <c r="V576" s="65" t="n"/>
      <c r="W576" s="65" t="n"/>
      <c r="X576" s="65" t="n"/>
      <c r="Y576" s="65" t="n"/>
      <c r="Z576" s="65" t="n"/>
    </row>
    <row r="577" ht="12.75" customHeight="1" s="85">
      <c r="A577" s="65" t="n"/>
      <c r="B577" s="72" t="n"/>
      <c r="C577" s="65" t="n"/>
      <c r="D577" s="65" t="n"/>
      <c r="E577" s="65" t="n"/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65" t="n"/>
      <c r="R577" s="65" t="n"/>
      <c r="S577" s="65" t="n"/>
      <c r="T577" s="65" t="n"/>
      <c r="U577" s="65" t="n"/>
      <c r="V577" s="65" t="n"/>
      <c r="W577" s="65" t="n"/>
      <c r="X577" s="65" t="n"/>
      <c r="Y577" s="65" t="n"/>
      <c r="Z577" s="65" t="n"/>
    </row>
    <row r="578" ht="12.75" customHeight="1" s="85">
      <c r="A578" s="65" t="n"/>
      <c r="B578" s="72" t="n"/>
      <c r="C578" s="65" t="n"/>
      <c r="D578" s="65" t="n"/>
      <c r="E578" s="65" t="n"/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65" t="n"/>
      <c r="R578" s="65" t="n"/>
      <c r="S578" s="65" t="n"/>
      <c r="T578" s="65" t="n"/>
      <c r="U578" s="65" t="n"/>
      <c r="V578" s="65" t="n"/>
      <c r="W578" s="65" t="n"/>
      <c r="X578" s="65" t="n"/>
      <c r="Y578" s="65" t="n"/>
      <c r="Z578" s="65" t="n"/>
    </row>
    <row r="579" ht="12.75" customHeight="1" s="85">
      <c r="A579" s="65" t="n"/>
      <c r="B579" s="72" t="n"/>
      <c r="C579" s="65" t="n"/>
      <c r="D579" s="65" t="n"/>
      <c r="E579" s="65" t="n"/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65" t="n"/>
      <c r="R579" s="65" t="n"/>
      <c r="S579" s="65" t="n"/>
      <c r="T579" s="65" t="n"/>
      <c r="U579" s="65" t="n"/>
      <c r="V579" s="65" t="n"/>
      <c r="W579" s="65" t="n"/>
      <c r="X579" s="65" t="n"/>
      <c r="Y579" s="65" t="n"/>
      <c r="Z579" s="65" t="n"/>
    </row>
    <row r="580" ht="12.75" customHeight="1" s="85">
      <c r="A580" s="65" t="n"/>
      <c r="B580" s="72" t="n"/>
      <c r="C580" s="65" t="n"/>
      <c r="D580" s="65" t="n"/>
      <c r="E580" s="65" t="n"/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65" t="n"/>
      <c r="R580" s="65" t="n"/>
      <c r="S580" s="65" t="n"/>
      <c r="T580" s="65" t="n"/>
      <c r="U580" s="65" t="n"/>
      <c r="V580" s="65" t="n"/>
      <c r="W580" s="65" t="n"/>
      <c r="X580" s="65" t="n"/>
      <c r="Y580" s="65" t="n"/>
      <c r="Z580" s="65" t="n"/>
    </row>
    <row r="581" ht="12.75" customHeight="1" s="85">
      <c r="A581" s="65" t="n"/>
      <c r="B581" s="72" t="n"/>
      <c r="C581" s="65" t="n"/>
      <c r="D581" s="65" t="n"/>
      <c r="E581" s="65" t="n"/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65" t="n"/>
      <c r="R581" s="65" t="n"/>
      <c r="S581" s="65" t="n"/>
      <c r="T581" s="65" t="n"/>
      <c r="U581" s="65" t="n"/>
      <c r="V581" s="65" t="n"/>
      <c r="W581" s="65" t="n"/>
      <c r="X581" s="65" t="n"/>
      <c r="Y581" s="65" t="n"/>
      <c r="Z581" s="65" t="n"/>
    </row>
    <row r="582" ht="12.75" customHeight="1" s="85">
      <c r="A582" s="65" t="n"/>
      <c r="B582" s="72" t="n"/>
      <c r="C582" s="65" t="n"/>
      <c r="D582" s="65" t="n"/>
      <c r="E582" s="65" t="n"/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65" t="n"/>
      <c r="R582" s="65" t="n"/>
      <c r="S582" s="65" t="n"/>
      <c r="T582" s="65" t="n"/>
      <c r="U582" s="65" t="n"/>
      <c r="V582" s="65" t="n"/>
      <c r="W582" s="65" t="n"/>
      <c r="X582" s="65" t="n"/>
      <c r="Y582" s="65" t="n"/>
      <c r="Z582" s="65" t="n"/>
    </row>
    <row r="583" ht="12.75" customHeight="1" s="85">
      <c r="A583" s="65" t="n"/>
      <c r="B583" s="72" t="n"/>
      <c r="C583" s="65" t="n"/>
      <c r="D583" s="65" t="n"/>
      <c r="E583" s="65" t="n"/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65" t="n"/>
      <c r="R583" s="65" t="n"/>
      <c r="S583" s="65" t="n"/>
      <c r="T583" s="65" t="n"/>
      <c r="U583" s="65" t="n"/>
      <c r="V583" s="65" t="n"/>
      <c r="W583" s="65" t="n"/>
      <c r="X583" s="65" t="n"/>
      <c r="Y583" s="65" t="n"/>
      <c r="Z583" s="65" t="n"/>
    </row>
    <row r="584" ht="12.75" customHeight="1" s="85">
      <c r="A584" s="65" t="n"/>
      <c r="B584" s="72" t="n"/>
      <c r="C584" s="65" t="n"/>
      <c r="D584" s="65" t="n"/>
      <c r="E584" s="65" t="n"/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65" t="n"/>
      <c r="R584" s="65" t="n"/>
      <c r="S584" s="65" t="n"/>
      <c r="T584" s="65" t="n"/>
      <c r="U584" s="65" t="n"/>
      <c r="V584" s="65" t="n"/>
      <c r="W584" s="65" t="n"/>
      <c r="X584" s="65" t="n"/>
      <c r="Y584" s="65" t="n"/>
      <c r="Z584" s="65" t="n"/>
    </row>
    <row r="585" ht="12.75" customHeight="1" s="85">
      <c r="A585" s="65" t="n"/>
      <c r="B585" s="72" t="n"/>
      <c r="C585" s="65" t="n"/>
      <c r="D585" s="65" t="n"/>
      <c r="E585" s="65" t="n"/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65" t="n"/>
      <c r="R585" s="65" t="n"/>
      <c r="S585" s="65" t="n"/>
      <c r="T585" s="65" t="n"/>
      <c r="U585" s="65" t="n"/>
      <c r="V585" s="65" t="n"/>
      <c r="W585" s="65" t="n"/>
      <c r="X585" s="65" t="n"/>
      <c r="Y585" s="65" t="n"/>
      <c r="Z585" s="65" t="n"/>
    </row>
    <row r="586" ht="12.75" customHeight="1" s="85">
      <c r="A586" s="65" t="n"/>
      <c r="B586" s="72" t="n"/>
      <c r="C586" s="65" t="n"/>
      <c r="D586" s="65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65" t="n"/>
      <c r="T586" s="65" t="n"/>
      <c r="U586" s="65" t="n"/>
      <c r="V586" s="65" t="n"/>
      <c r="W586" s="65" t="n"/>
      <c r="X586" s="65" t="n"/>
      <c r="Y586" s="65" t="n"/>
      <c r="Z586" s="65" t="n"/>
    </row>
    <row r="587" ht="12.75" customHeight="1" s="85">
      <c r="A587" s="65" t="n"/>
      <c r="B587" s="72" t="n"/>
      <c r="C587" s="65" t="n"/>
      <c r="D587" s="65" t="n"/>
      <c r="E587" s="65" t="n"/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65" t="n"/>
      <c r="R587" s="65" t="n"/>
      <c r="S587" s="65" t="n"/>
      <c r="T587" s="65" t="n"/>
      <c r="U587" s="65" t="n"/>
      <c r="V587" s="65" t="n"/>
      <c r="W587" s="65" t="n"/>
      <c r="X587" s="65" t="n"/>
      <c r="Y587" s="65" t="n"/>
      <c r="Z587" s="65" t="n"/>
    </row>
    <row r="588" ht="12.75" customHeight="1" s="85">
      <c r="A588" s="65" t="n"/>
      <c r="B588" s="72" t="n"/>
      <c r="C588" s="65" t="n"/>
      <c r="D588" s="65" t="n"/>
      <c r="E588" s="65" t="n"/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65" t="n"/>
      <c r="R588" s="65" t="n"/>
      <c r="S588" s="65" t="n"/>
      <c r="T588" s="65" t="n"/>
      <c r="U588" s="65" t="n"/>
      <c r="V588" s="65" t="n"/>
      <c r="W588" s="65" t="n"/>
      <c r="X588" s="65" t="n"/>
      <c r="Y588" s="65" t="n"/>
      <c r="Z588" s="65" t="n"/>
    </row>
    <row r="589" ht="12.75" customHeight="1" s="85">
      <c r="A589" s="65" t="n"/>
      <c r="B589" s="72" t="n"/>
      <c r="C589" s="65" t="n"/>
      <c r="D589" s="65" t="n"/>
      <c r="E589" s="65" t="n"/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65" t="n"/>
      <c r="T589" s="65" t="n"/>
      <c r="U589" s="65" t="n"/>
      <c r="V589" s="65" t="n"/>
      <c r="W589" s="65" t="n"/>
      <c r="X589" s="65" t="n"/>
      <c r="Y589" s="65" t="n"/>
      <c r="Z589" s="65" t="n"/>
    </row>
    <row r="590" ht="12.75" customHeight="1" s="85">
      <c r="A590" s="65" t="n"/>
      <c r="B590" s="72" t="n"/>
      <c r="C590" s="65" t="n"/>
      <c r="D590" s="65" t="n"/>
      <c r="E590" s="65" t="n"/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65" t="n"/>
      <c r="T590" s="65" t="n"/>
      <c r="U590" s="65" t="n"/>
      <c r="V590" s="65" t="n"/>
      <c r="W590" s="65" t="n"/>
      <c r="X590" s="65" t="n"/>
      <c r="Y590" s="65" t="n"/>
      <c r="Z590" s="65" t="n"/>
    </row>
    <row r="591" ht="12.75" customHeight="1" s="85">
      <c r="A591" s="65" t="n"/>
      <c r="B591" s="72" t="n"/>
      <c r="C591" s="65" t="n"/>
      <c r="D591" s="65" t="n"/>
      <c r="E591" s="65" t="n"/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65" t="n"/>
      <c r="R591" s="65" t="n"/>
      <c r="S591" s="65" t="n"/>
      <c r="T591" s="65" t="n"/>
      <c r="U591" s="65" t="n"/>
      <c r="V591" s="65" t="n"/>
      <c r="W591" s="65" t="n"/>
      <c r="X591" s="65" t="n"/>
      <c r="Y591" s="65" t="n"/>
      <c r="Z591" s="65" t="n"/>
    </row>
    <row r="592" ht="12.75" customHeight="1" s="85">
      <c r="A592" s="65" t="n"/>
      <c r="B592" s="72" t="n"/>
      <c r="C592" s="65" t="n"/>
      <c r="D592" s="65" t="n"/>
      <c r="E592" s="65" t="n"/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65" t="n"/>
      <c r="R592" s="65" t="n"/>
      <c r="S592" s="65" t="n"/>
      <c r="T592" s="65" t="n"/>
      <c r="U592" s="65" t="n"/>
      <c r="V592" s="65" t="n"/>
      <c r="W592" s="65" t="n"/>
      <c r="X592" s="65" t="n"/>
      <c r="Y592" s="65" t="n"/>
      <c r="Z592" s="65" t="n"/>
    </row>
    <row r="593" ht="12.75" customHeight="1" s="85">
      <c r="A593" s="65" t="n"/>
      <c r="B593" s="72" t="n"/>
      <c r="C593" s="65" t="n"/>
      <c r="D593" s="65" t="n"/>
      <c r="E593" s="65" t="n"/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65" t="n"/>
      <c r="R593" s="65" t="n"/>
      <c r="S593" s="65" t="n"/>
      <c r="T593" s="65" t="n"/>
      <c r="U593" s="65" t="n"/>
      <c r="V593" s="65" t="n"/>
      <c r="W593" s="65" t="n"/>
      <c r="X593" s="65" t="n"/>
      <c r="Y593" s="65" t="n"/>
      <c r="Z593" s="65" t="n"/>
    </row>
    <row r="594" ht="12.75" customHeight="1" s="85">
      <c r="A594" s="65" t="n"/>
      <c r="B594" s="72" t="n"/>
      <c r="C594" s="65" t="n"/>
      <c r="D594" s="65" t="n"/>
      <c r="E594" s="65" t="n"/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65" t="n"/>
      <c r="R594" s="65" t="n"/>
      <c r="S594" s="65" t="n"/>
      <c r="T594" s="65" t="n"/>
      <c r="U594" s="65" t="n"/>
      <c r="V594" s="65" t="n"/>
      <c r="W594" s="65" t="n"/>
      <c r="X594" s="65" t="n"/>
      <c r="Y594" s="65" t="n"/>
      <c r="Z594" s="65" t="n"/>
    </row>
    <row r="595" ht="12.75" customHeight="1" s="85">
      <c r="A595" s="65" t="n"/>
      <c r="B595" s="72" t="n"/>
      <c r="C595" s="65" t="n"/>
      <c r="D595" s="65" t="n"/>
      <c r="E595" s="65" t="n"/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65" t="n"/>
      <c r="T595" s="65" t="n"/>
      <c r="U595" s="65" t="n"/>
      <c r="V595" s="65" t="n"/>
      <c r="W595" s="65" t="n"/>
      <c r="X595" s="65" t="n"/>
      <c r="Y595" s="65" t="n"/>
      <c r="Z595" s="65" t="n"/>
    </row>
    <row r="596" ht="12.75" customHeight="1" s="85">
      <c r="A596" s="65" t="n"/>
      <c r="B596" s="72" t="n"/>
      <c r="C596" s="65" t="n"/>
      <c r="D596" s="65" t="n"/>
      <c r="E596" s="65" t="n"/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65" t="n"/>
      <c r="T596" s="65" t="n"/>
      <c r="U596" s="65" t="n"/>
      <c r="V596" s="65" t="n"/>
      <c r="W596" s="65" t="n"/>
      <c r="X596" s="65" t="n"/>
      <c r="Y596" s="65" t="n"/>
      <c r="Z596" s="65" t="n"/>
    </row>
    <row r="597" ht="12.75" customHeight="1" s="85">
      <c r="A597" s="65" t="n"/>
      <c r="B597" s="72" t="n"/>
      <c r="C597" s="65" t="n"/>
      <c r="D597" s="65" t="n"/>
      <c r="E597" s="65" t="n"/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65" t="n"/>
      <c r="R597" s="65" t="n"/>
      <c r="S597" s="65" t="n"/>
      <c r="T597" s="65" t="n"/>
      <c r="U597" s="65" t="n"/>
      <c r="V597" s="65" t="n"/>
      <c r="W597" s="65" t="n"/>
      <c r="X597" s="65" t="n"/>
      <c r="Y597" s="65" t="n"/>
      <c r="Z597" s="65" t="n"/>
    </row>
    <row r="598" ht="12.75" customHeight="1" s="85">
      <c r="A598" s="65" t="n"/>
      <c r="B598" s="72" t="n"/>
      <c r="C598" s="65" t="n"/>
      <c r="D598" s="65" t="n"/>
      <c r="E598" s="65" t="n"/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65" t="n"/>
      <c r="R598" s="65" t="n"/>
      <c r="S598" s="65" t="n"/>
      <c r="T598" s="65" t="n"/>
      <c r="U598" s="65" t="n"/>
      <c r="V598" s="65" t="n"/>
      <c r="W598" s="65" t="n"/>
      <c r="X598" s="65" t="n"/>
      <c r="Y598" s="65" t="n"/>
      <c r="Z598" s="65" t="n"/>
    </row>
    <row r="599" ht="12.75" customHeight="1" s="85">
      <c r="A599" s="65" t="n"/>
      <c r="B599" s="72" t="n"/>
      <c r="C599" s="65" t="n"/>
      <c r="D599" s="65" t="n"/>
      <c r="E599" s="65" t="n"/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65" t="n"/>
      <c r="R599" s="65" t="n"/>
      <c r="S599" s="65" t="n"/>
      <c r="T599" s="65" t="n"/>
      <c r="U599" s="65" t="n"/>
      <c r="V599" s="65" t="n"/>
      <c r="W599" s="65" t="n"/>
      <c r="X599" s="65" t="n"/>
      <c r="Y599" s="65" t="n"/>
      <c r="Z599" s="65" t="n"/>
    </row>
    <row r="600" ht="12.75" customHeight="1" s="85">
      <c r="A600" s="65" t="n"/>
      <c r="B600" s="72" t="n"/>
      <c r="C600" s="65" t="n"/>
      <c r="D600" s="65" t="n"/>
      <c r="E600" s="65" t="n"/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65" t="n"/>
      <c r="R600" s="65" t="n"/>
      <c r="S600" s="65" t="n"/>
      <c r="T600" s="65" t="n"/>
      <c r="U600" s="65" t="n"/>
      <c r="V600" s="65" t="n"/>
      <c r="W600" s="65" t="n"/>
      <c r="X600" s="65" t="n"/>
      <c r="Y600" s="65" t="n"/>
      <c r="Z600" s="65" t="n"/>
    </row>
    <row r="601" ht="12.75" customHeight="1" s="85">
      <c r="A601" s="65" t="n"/>
      <c r="B601" s="72" t="n"/>
      <c r="C601" s="65" t="n"/>
      <c r="D601" s="65" t="n"/>
      <c r="E601" s="65" t="n"/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65" t="n"/>
      <c r="R601" s="65" t="n"/>
      <c r="S601" s="65" t="n"/>
      <c r="T601" s="65" t="n"/>
      <c r="U601" s="65" t="n"/>
      <c r="V601" s="65" t="n"/>
      <c r="W601" s="65" t="n"/>
      <c r="X601" s="65" t="n"/>
      <c r="Y601" s="65" t="n"/>
      <c r="Z601" s="65" t="n"/>
    </row>
    <row r="602" ht="12.75" customHeight="1" s="85">
      <c r="A602" s="65" t="n"/>
      <c r="B602" s="72" t="n"/>
      <c r="C602" s="65" t="n"/>
      <c r="D602" s="65" t="n"/>
      <c r="E602" s="65" t="n"/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65" t="n"/>
      <c r="R602" s="65" t="n"/>
      <c r="S602" s="65" t="n"/>
      <c r="T602" s="65" t="n"/>
      <c r="U602" s="65" t="n"/>
      <c r="V602" s="65" t="n"/>
      <c r="W602" s="65" t="n"/>
      <c r="X602" s="65" t="n"/>
      <c r="Y602" s="65" t="n"/>
      <c r="Z602" s="65" t="n"/>
    </row>
    <row r="603" ht="12.75" customHeight="1" s="85">
      <c r="A603" s="65" t="n"/>
      <c r="B603" s="72" t="n"/>
      <c r="C603" s="65" t="n"/>
      <c r="D603" s="65" t="n"/>
      <c r="E603" s="65" t="n"/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65" t="n"/>
      <c r="T603" s="65" t="n"/>
      <c r="U603" s="65" t="n"/>
      <c r="V603" s="65" t="n"/>
      <c r="W603" s="65" t="n"/>
      <c r="X603" s="65" t="n"/>
      <c r="Y603" s="65" t="n"/>
      <c r="Z603" s="65" t="n"/>
    </row>
    <row r="604" ht="12.75" customHeight="1" s="85">
      <c r="A604" s="65" t="n"/>
      <c r="B604" s="72" t="n"/>
      <c r="C604" s="65" t="n"/>
      <c r="D604" s="65" t="n"/>
      <c r="E604" s="65" t="n"/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65" t="n"/>
      <c r="R604" s="65" t="n"/>
      <c r="S604" s="65" t="n"/>
      <c r="T604" s="65" t="n"/>
      <c r="U604" s="65" t="n"/>
      <c r="V604" s="65" t="n"/>
      <c r="W604" s="65" t="n"/>
      <c r="X604" s="65" t="n"/>
      <c r="Y604" s="65" t="n"/>
      <c r="Z604" s="65" t="n"/>
    </row>
    <row r="605" ht="12.75" customHeight="1" s="85">
      <c r="A605" s="65" t="n"/>
      <c r="B605" s="72" t="n"/>
      <c r="C605" s="65" t="n"/>
      <c r="D605" s="65" t="n"/>
      <c r="E605" s="65" t="n"/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65" t="n"/>
      <c r="R605" s="65" t="n"/>
      <c r="S605" s="65" t="n"/>
      <c r="T605" s="65" t="n"/>
      <c r="U605" s="65" t="n"/>
      <c r="V605" s="65" t="n"/>
      <c r="W605" s="65" t="n"/>
      <c r="X605" s="65" t="n"/>
      <c r="Y605" s="65" t="n"/>
      <c r="Z605" s="65" t="n"/>
    </row>
    <row r="606" ht="12.75" customHeight="1" s="85">
      <c r="A606" s="65" t="n"/>
      <c r="B606" s="72" t="n"/>
      <c r="C606" s="65" t="n"/>
      <c r="D606" s="65" t="n"/>
      <c r="E606" s="65" t="n"/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65" t="n"/>
      <c r="R606" s="65" t="n"/>
      <c r="S606" s="65" t="n"/>
      <c r="T606" s="65" t="n"/>
      <c r="U606" s="65" t="n"/>
      <c r="V606" s="65" t="n"/>
      <c r="W606" s="65" t="n"/>
      <c r="X606" s="65" t="n"/>
      <c r="Y606" s="65" t="n"/>
      <c r="Z606" s="65" t="n"/>
    </row>
    <row r="607" ht="12.75" customHeight="1" s="85">
      <c r="A607" s="65" t="n"/>
      <c r="B607" s="72" t="n"/>
      <c r="C607" s="65" t="n"/>
      <c r="D607" s="65" t="n"/>
      <c r="E607" s="65" t="n"/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65" t="n"/>
      <c r="R607" s="65" t="n"/>
      <c r="S607" s="65" t="n"/>
      <c r="T607" s="65" t="n"/>
      <c r="U607" s="65" t="n"/>
      <c r="V607" s="65" t="n"/>
      <c r="W607" s="65" t="n"/>
      <c r="X607" s="65" t="n"/>
      <c r="Y607" s="65" t="n"/>
      <c r="Z607" s="65" t="n"/>
    </row>
    <row r="608" ht="12.75" customHeight="1" s="85">
      <c r="A608" s="65" t="n"/>
      <c r="B608" s="72" t="n"/>
      <c r="C608" s="65" t="n"/>
      <c r="D608" s="65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65" t="n"/>
      <c r="R608" s="65" t="n"/>
      <c r="S608" s="65" t="n"/>
      <c r="T608" s="65" t="n"/>
      <c r="U608" s="65" t="n"/>
      <c r="V608" s="65" t="n"/>
      <c r="W608" s="65" t="n"/>
      <c r="X608" s="65" t="n"/>
      <c r="Y608" s="65" t="n"/>
      <c r="Z608" s="65" t="n"/>
    </row>
    <row r="609" ht="12.75" customHeight="1" s="85">
      <c r="A609" s="65" t="n"/>
      <c r="B609" s="72" t="n"/>
      <c r="C609" s="65" t="n"/>
      <c r="D609" s="65" t="n"/>
      <c r="E609" s="65" t="n"/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65" t="n"/>
      <c r="R609" s="65" t="n"/>
      <c r="S609" s="65" t="n"/>
      <c r="T609" s="65" t="n"/>
      <c r="U609" s="65" t="n"/>
      <c r="V609" s="65" t="n"/>
      <c r="W609" s="65" t="n"/>
      <c r="X609" s="65" t="n"/>
      <c r="Y609" s="65" t="n"/>
      <c r="Z609" s="65" t="n"/>
    </row>
    <row r="610" ht="12.75" customHeight="1" s="85">
      <c r="A610" s="65" t="n"/>
      <c r="B610" s="72" t="n"/>
      <c r="C610" s="65" t="n"/>
      <c r="D610" s="65" t="n"/>
      <c r="E610" s="65" t="n"/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65" t="n"/>
      <c r="R610" s="65" t="n"/>
      <c r="S610" s="65" t="n"/>
      <c r="T610" s="65" t="n"/>
      <c r="U610" s="65" t="n"/>
      <c r="V610" s="65" t="n"/>
      <c r="W610" s="65" t="n"/>
      <c r="X610" s="65" t="n"/>
      <c r="Y610" s="65" t="n"/>
      <c r="Z610" s="65" t="n"/>
    </row>
    <row r="611" ht="12.75" customHeight="1" s="85">
      <c r="A611" s="65" t="n"/>
      <c r="B611" s="72" t="n"/>
      <c r="C611" s="65" t="n"/>
      <c r="D611" s="65" t="n"/>
      <c r="E611" s="65" t="n"/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65" t="n"/>
      <c r="R611" s="65" t="n"/>
      <c r="S611" s="65" t="n"/>
      <c r="T611" s="65" t="n"/>
      <c r="U611" s="65" t="n"/>
      <c r="V611" s="65" t="n"/>
      <c r="W611" s="65" t="n"/>
      <c r="X611" s="65" t="n"/>
      <c r="Y611" s="65" t="n"/>
      <c r="Z611" s="65" t="n"/>
    </row>
    <row r="612" ht="12.75" customHeight="1" s="85">
      <c r="A612" s="65" t="n"/>
      <c r="B612" s="72" t="n"/>
      <c r="C612" s="65" t="n"/>
      <c r="D612" s="65" t="n"/>
      <c r="E612" s="65" t="n"/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65" t="n"/>
      <c r="R612" s="65" t="n"/>
      <c r="S612" s="65" t="n"/>
      <c r="T612" s="65" t="n"/>
      <c r="U612" s="65" t="n"/>
      <c r="V612" s="65" t="n"/>
      <c r="W612" s="65" t="n"/>
      <c r="X612" s="65" t="n"/>
      <c r="Y612" s="65" t="n"/>
      <c r="Z612" s="65" t="n"/>
    </row>
    <row r="613" ht="12.75" customHeight="1" s="85">
      <c r="A613" s="65" t="n"/>
      <c r="B613" s="72" t="n"/>
      <c r="C613" s="65" t="n"/>
      <c r="D613" s="65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65" t="n"/>
      <c r="R613" s="65" t="n"/>
      <c r="S613" s="65" t="n"/>
      <c r="T613" s="65" t="n"/>
      <c r="U613" s="65" t="n"/>
      <c r="V613" s="65" t="n"/>
      <c r="W613" s="65" t="n"/>
      <c r="X613" s="65" t="n"/>
      <c r="Y613" s="65" t="n"/>
      <c r="Z613" s="65" t="n"/>
    </row>
    <row r="614" ht="12.75" customHeight="1" s="85">
      <c r="A614" s="65" t="n"/>
      <c r="B614" s="72" t="n"/>
      <c r="C614" s="65" t="n"/>
      <c r="D614" s="65" t="n"/>
      <c r="E614" s="65" t="n"/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65" t="n"/>
      <c r="R614" s="65" t="n"/>
      <c r="S614" s="65" t="n"/>
      <c r="T614" s="65" t="n"/>
      <c r="U614" s="65" t="n"/>
      <c r="V614" s="65" t="n"/>
      <c r="W614" s="65" t="n"/>
      <c r="X614" s="65" t="n"/>
      <c r="Y614" s="65" t="n"/>
      <c r="Z614" s="65" t="n"/>
    </row>
    <row r="615" ht="12.75" customHeight="1" s="85">
      <c r="A615" s="65" t="n"/>
      <c r="B615" s="72" t="n"/>
      <c r="C615" s="65" t="n"/>
      <c r="D615" s="65" t="n"/>
      <c r="E615" s="65" t="n"/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65" t="n"/>
      <c r="R615" s="65" t="n"/>
      <c r="S615" s="65" t="n"/>
      <c r="T615" s="65" t="n"/>
      <c r="U615" s="65" t="n"/>
      <c r="V615" s="65" t="n"/>
      <c r="W615" s="65" t="n"/>
      <c r="X615" s="65" t="n"/>
      <c r="Y615" s="65" t="n"/>
      <c r="Z615" s="65" t="n"/>
    </row>
    <row r="616" ht="12.75" customHeight="1" s="85">
      <c r="A616" s="65" t="n"/>
      <c r="B616" s="72" t="n"/>
      <c r="C616" s="65" t="n"/>
      <c r="D616" s="65" t="n"/>
      <c r="E616" s="65" t="n"/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 t="n"/>
      <c r="S616" s="65" t="n"/>
      <c r="T616" s="65" t="n"/>
      <c r="U616" s="65" t="n"/>
      <c r="V616" s="65" t="n"/>
      <c r="W616" s="65" t="n"/>
      <c r="X616" s="65" t="n"/>
      <c r="Y616" s="65" t="n"/>
      <c r="Z616" s="65" t="n"/>
    </row>
    <row r="617" ht="12.75" customHeight="1" s="85">
      <c r="A617" s="65" t="n"/>
      <c r="B617" s="72" t="n"/>
      <c r="C617" s="65" t="n"/>
      <c r="D617" s="65" t="n"/>
      <c r="E617" s="65" t="n"/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65" t="n"/>
      <c r="T617" s="65" t="n"/>
      <c r="U617" s="65" t="n"/>
      <c r="V617" s="65" t="n"/>
      <c r="W617" s="65" t="n"/>
      <c r="X617" s="65" t="n"/>
      <c r="Y617" s="65" t="n"/>
      <c r="Z617" s="65" t="n"/>
    </row>
    <row r="618" ht="12.75" customHeight="1" s="85">
      <c r="A618" s="65" t="n"/>
      <c r="B618" s="72" t="n"/>
      <c r="C618" s="65" t="n"/>
      <c r="D618" s="65" t="n"/>
      <c r="E618" s="65" t="n"/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65" t="n"/>
      <c r="T618" s="65" t="n"/>
      <c r="U618" s="65" t="n"/>
      <c r="V618" s="65" t="n"/>
      <c r="W618" s="65" t="n"/>
      <c r="X618" s="65" t="n"/>
      <c r="Y618" s="65" t="n"/>
      <c r="Z618" s="65" t="n"/>
    </row>
    <row r="619" ht="12.75" customHeight="1" s="85">
      <c r="A619" s="65" t="n"/>
      <c r="B619" s="72" t="n"/>
      <c r="C619" s="65" t="n"/>
      <c r="D619" s="65" t="n"/>
      <c r="E619" s="65" t="n"/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 t="n"/>
      <c r="S619" s="65" t="n"/>
      <c r="T619" s="65" t="n"/>
      <c r="U619" s="65" t="n"/>
      <c r="V619" s="65" t="n"/>
      <c r="W619" s="65" t="n"/>
      <c r="X619" s="65" t="n"/>
      <c r="Y619" s="65" t="n"/>
      <c r="Z619" s="65" t="n"/>
    </row>
    <row r="620" ht="12.75" customHeight="1" s="85">
      <c r="A620" s="65" t="n"/>
      <c r="B620" s="72" t="n"/>
      <c r="C620" s="65" t="n"/>
      <c r="D620" s="65" t="n"/>
      <c r="E620" s="65" t="n"/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 t="n"/>
      <c r="S620" s="65" t="n"/>
      <c r="T620" s="65" t="n"/>
      <c r="U620" s="65" t="n"/>
      <c r="V620" s="65" t="n"/>
      <c r="W620" s="65" t="n"/>
      <c r="X620" s="65" t="n"/>
      <c r="Y620" s="65" t="n"/>
      <c r="Z620" s="65" t="n"/>
    </row>
    <row r="621" ht="12.75" customHeight="1" s="85">
      <c r="A621" s="65" t="n"/>
      <c r="B621" s="72" t="n"/>
      <c r="C621" s="65" t="n"/>
      <c r="D621" s="65" t="n"/>
      <c r="E621" s="65" t="n"/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 t="n"/>
      <c r="S621" s="65" t="n"/>
      <c r="T621" s="65" t="n"/>
      <c r="U621" s="65" t="n"/>
      <c r="V621" s="65" t="n"/>
      <c r="W621" s="65" t="n"/>
      <c r="X621" s="65" t="n"/>
      <c r="Y621" s="65" t="n"/>
      <c r="Z621" s="65" t="n"/>
    </row>
    <row r="622" ht="12.75" customHeight="1" s="85">
      <c r="A622" s="65" t="n"/>
      <c r="B622" s="72" t="n"/>
      <c r="C622" s="65" t="n"/>
      <c r="D622" s="65" t="n"/>
      <c r="E622" s="65" t="n"/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 t="n"/>
      <c r="S622" s="65" t="n"/>
      <c r="T622" s="65" t="n"/>
      <c r="U622" s="65" t="n"/>
      <c r="V622" s="65" t="n"/>
      <c r="W622" s="65" t="n"/>
      <c r="X622" s="65" t="n"/>
      <c r="Y622" s="65" t="n"/>
      <c r="Z622" s="65" t="n"/>
    </row>
    <row r="623" ht="12.75" customHeight="1" s="85">
      <c r="A623" s="65" t="n"/>
      <c r="B623" s="72" t="n"/>
      <c r="C623" s="65" t="n"/>
      <c r="D623" s="65" t="n"/>
      <c r="E623" s="65" t="n"/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 t="n"/>
      <c r="S623" s="65" t="n"/>
      <c r="T623" s="65" t="n"/>
      <c r="U623" s="65" t="n"/>
      <c r="V623" s="65" t="n"/>
      <c r="W623" s="65" t="n"/>
      <c r="X623" s="65" t="n"/>
      <c r="Y623" s="65" t="n"/>
      <c r="Z623" s="65" t="n"/>
    </row>
    <row r="624" ht="12.75" customHeight="1" s="85">
      <c r="A624" s="65" t="n"/>
      <c r="B624" s="72" t="n"/>
      <c r="C624" s="65" t="n"/>
      <c r="D624" s="65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65" t="n"/>
      <c r="T624" s="65" t="n"/>
      <c r="U624" s="65" t="n"/>
      <c r="V624" s="65" t="n"/>
      <c r="W624" s="65" t="n"/>
      <c r="X624" s="65" t="n"/>
      <c r="Y624" s="65" t="n"/>
      <c r="Z624" s="65" t="n"/>
    </row>
    <row r="625" ht="12.75" customHeight="1" s="85">
      <c r="A625" s="65" t="n"/>
      <c r="B625" s="72" t="n"/>
      <c r="C625" s="65" t="n"/>
      <c r="D625" s="65" t="n"/>
      <c r="E625" s="65" t="n"/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65" t="n"/>
      <c r="R625" s="65" t="n"/>
      <c r="S625" s="65" t="n"/>
      <c r="T625" s="65" t="n"/>
      <c r="U625" s="65" t="n"/>
      <c r="V625" s="65" t="n"/>
      <c r="W625" s="65" t="n"/>
      <c r="X625" s="65" t="n"/>
      <c r="Y625" s="65" t="n"/>
      <c r="Z625" s="65" t="n"/>
    </row>
    <row r="626" ht="12.75" customHeight="1" s="85">
      <c r="A626" s="65" t="n"/>
      <c r="B626" s="72" t="n"/>
      <c r="C626" s="65" t="n"/>
      <c r="D626" s="65" t="n"/>
      <c r="E626" s="65" t="n"/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65" t="n"/>
      <c r="R626" s="65" t="n"/>
      <c r="S626" s="65" t="n"/>
      <c r="T626" s="65" t="n"/>
      <c r="U626" s="65" t="n"/>
      <c r="V626" s="65" t="n"/>
      <c r="W626" s="65" t="n"/>
      <c r="X626" s="65" t="n"/>
      <c r="Y626" s="65" t="n"/>
      <c r="Z626" s="65" t="n"/>
    </row>
    <row r="627" ht="12.75" customHeight="1" s="85">
      <c r="A627" s="65" t="n"/>
      <c r="B627" s="72" t="n"/>
      <c r="C627" s="65" t="n"/>
      <c r="D627" s="65" t="n"/>
      <c r="E627" s="65" t="n"/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65" t="n"/>
      <c r="R627" s="65" t="n"/>
      <c r="S627" s="65" t="n"/>
      <c r="T627" s="65" t="n"/>
      <c r="U627" s="65" t="n"/>
      <c r="V627" s="65" t="n"/>
      <c r="W627" s="65" t="n"/>
      <c r="X627" s="65" t="n"/>
      <c r="Y627" s="65" t="n"/>
      <c r="Z627" s="65" t="n"/>
    </row>
    <row r="628" ht="12.75" customHeight="1" s="85">
      <c r="A628" s="65" t="n"/>
      <c r="B628" s="72" t="n"/>
      <c r="C628" s="65" t="n"/>
      <c r="D628" s="65" t="n"/>
      <c r="E628" s="65" t="n"/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65" t="n"/>
      <c r="R628" s="65" t="n"/>
      <c r="S628" s="65" t="n"/>
      <c r="T628" s="65" t="n"/>
      <c r="U628" s="65" t="n"/>
      <c r="V628" s="65" t="n"/>
      <c r="W628" s="65" t="n"/>
      <c r="X628" s="65" t="n"/>
      <c r="Y628" s="65" t="n"/>
      <c r="Z628" s="65" t="n"/>
    </row>
    <row r="629" ht="12.75" customHeight="1" s="85">
      <c r="A629" s="65" t="n"/>
      <c r="B629" s="72" t="n"/>
      <c r="C629" s="65" t="n"/>
      <c r="D629" s="65" t="n"/>
      <c r="E629" s="65" t="n"/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65" t="n"/>
      <c r="R629" s="65" t="n"/>
      <c r="S629" s="65" t="n"/>
      <c r="T629" s="65" t="n"/>
      <c r="U629" s="65" t="n"/>
      <c r="V629" s="65" t="n"/>
      <c r="W629" s="65" t="n"/>
      <c r="X629" s="65" t="n"/>
      <c r="Y629" s="65" t="n"/>
      <c r="Z629" s="65" t="n"/>
    </row>
    <row r="630" ht="12.75" customHeight="1" s="85">
      <c r="A630" s="65" t="n"/>
      <c r="B630" s="72" t="n"/>
      <c r="C630" s="65" t="n"/>
      <c r="D630" s="65" t="n"/>
      <c r="E630" s="65" t="n"/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65" t="n"/>
      <c r="R630" s="65" t="n"/>
      <c r="S630" s="65" t="n"/>
      <c r="T630" s="65" t="n"/>
      <c r="U630" s="65" t="n"/>
      <c r="V630" s="65" t="n"/>
      <c r="W630" s="65" t="n"/>
      <c r="X630" s="65" t="n"/>
      <c r="Y630" s="65" t="n"/>
      <c r="Z630" s="65" t="n"/>
    </row>
    <row r="631" ht="12.75" customHeight="1" s="85">
      <c r="A631" s="65" t="n"/>
      <c r="B631" s="72" t="n"/>
      <c r="C631" s="65" t="n"/>
      <c r="D631" s="65" t="n"/>
      <c r="E631" s="65" t="n"/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65" t="n"/>
      <c r="R631" s="65" t="n"/>
      <c r="S631" s="65" t="n"/>
      <c r="T631" s="65" t="n"/>
      <c r="U631" s="65" t="n"/>
      <c r="V631" s="65" t="n"/>
      <c r="W631" s="65" t="n"/>
      <c r="X631" s="65" t="n"/>
      <c r="Y631" s="65" t="n"/>
      <c r="Z631" s="65" t="n"/>
    </row>
    <row r="632" ht="12.75" customHeight="1" s="85">
      <c r="A632" s="65" t="n"/>
      <c r="B632" s="72" t="n"/>
      <c r="C632" s="65" t="n"/>
      <c r="D632" s="65" t="n"/>
      <c r="E632" s="65" t="n"/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65" t="n"/>
      <c r="R632" s="65" t="n"/>
      <c r="S632" s="65" t="n"/>
      <c r="T632" s="65" t="n"/>
      <c r="U632" s="65" t="n"/>
      <c r="V632" s="65" t="n"/>
      <c r="W632" s="65" t="n"/>
      <c r="X632" s="65" t="n"/>
      <c r="Y632" s="65" t="n"/>
      <c r="Z632" s="65" t="n"/>
    </row>
    <row r="633" ht="12.75" customHeight="1" s="85">
      <c r="A633" s="65" t="n"/>
      <c r="B633" s="72" t="n"/>
      <c r="C633" s="65" t="n"/>
      <c r="D633" s="65" t="n"/>
      <c r="E633" s="65" t="n"/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65" t="n"/>
      <c r="R633" s="65" t="n"/>
      <c r="S633" s="65" t="n"/>
      <c r="T633" s="65" t="n"/>
      <c r="U633" s="65" t="n"/>
      <c r="V633" s="65" t="n"/>
      <c r="W633" s="65" t="n"/>
      <c r="X633" s="65" t="n"/>
      <c r="Y633" s="65" t="n"/>
      <c r="Z633" s="65" t="n"/>
    </row>
    <row r="634" ht="12.75" customHeight="1" s="85">
      <c r="A634" s="65" t="n"/>
      <c r="B634" s="72" t="n"/>
      <c r="C634" s="65" t="n"/>
      <c r="D634" s="65" t="n"/>
      <c r="E634" s="65" t="n"/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65" t="n"/>
      <c r="R634" s="65" t="n"/>
      <c r="S634" s="65" t="n"/>
      <c r="T634" s="65" t="n"/>
      <c r="U634" s="65" t="n"/>
      <c r="V634" s="65" t="n"/>
      <c r="W634" s="65" t="n"/>
      <c r="X634" s="65" t="n"/>
      <c r="Y634" s="65" t="n"/>
      <c r="Z634" s="65" t="n"/>
    </row>
    <row r="635" ht="12.75" customHeight="1" s="85">
      <c r="A635" s="65" t="n"/>
      <c r="B635" s="72" t="n"/>
      <c r="C635" s="65" t="n"/>
      <c r="D635" s="65" t="n"/>
      <c r="E635" s="65" t="n"/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65" t="n"/>
      <c r="T635" s="65" t="n"/>
      <c r="U635" s="65" t="n"/>
      <c r="V635" s="65" t="n"/>
      <c r="W635" s="65" t="n"/>
      <c r="X635" s="65" t="n"/>
      <c r="Y635" s="65" t="n"/>
      <c r="Z635" s="65" t="n"/>
    </row>
    <row r="636" ht="12.75" customHeight="1" s="85">
      <c r="A636" s="65" t="n"/>
      <c r="B636" s="72" t="n"/>
      <c r="C636" s="65" t="n"/>
      <c r="D636" s="65" t="n"/>
      <c r="E636" s="65" t="n"/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65" t="n"/>
      <c r="R636" s="65" t="n"/>
      <c r="S636" s="65" t="n"/>
      <c r="T636" s="65" t="n"/>
      <c r="U636" s="65" t="n"/>
      <c r="V636" s="65" t="n"/>
      <c r="W636" s="65" t="n"/>
      <c r="X636" s="65" t="n"/>
      <c r="Y636" s="65" t="n"/>
      <c r="Z636" s="65" t="n"/>
    </row>
    <row r="637" ht="12.75" customHeight="1" s="85">
      <c r="A637" s="65" t="n"/>
      <c r="B637" s="72" t="n"/>
      <c r="C637" s="65" t="n"/>
      <c r="D637" s="65" t="n"/>
      <c r="E637" s="65" t="n"/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65" t="n"/>
      <c r="R637" s="65" t="n"/>
      <c r="S637" s="65" t="n"/>
      <c r="T637" s="65" t="n"/>
      <c r="U637" s="65" t="n"/>
      <c r="V637" s="65" t="n"/>
      <c r="W637" s="65" t="n"/>
      <c r="X637" s="65" t="n"/>
      <c r="Y637" s="65" t="n"/>
      <c r="Z637" s="65" t="n"/>
    </row>
    <row r="638" ht="12.75" customHeight="1" s="85">
      <c r="A638" s="65" t="n"/>
      <c r="B638" s="72" t="n"/>
      <c r="C638" s="65" t="n"/>
      <c r="D638" s="65" t="n"/>
      <c r="E638" s="65" t="n"/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65" t="n"/>
      <c r="R638" s="65" t="n"/>
      <c r="S638" s="65" t="n"/>
      <c r="T638" s="65" t="n"/>
      <c r="U638" s="65" t="n"/>
      <c r="V638" s="65" t="n"/>
      <c r="W638" s="65" t="n"/>
      <c r="X638" s="65" t="n"/>
      <c r="Y638" s="65" t="n"/>
      <c r="Z638" s="65" t="n"/>
    </row>
    <row r="639" ht="12.75" customHeight="1" s="85">
      <c r="A639" s="65" t="n"/>
      <c r="B639" s="72" t="n"/>
      <c r="C639" s="65" t="n"/>
      <c r="D639" s="65" t="n"/>
      <c r="E639" s="65" t="n"/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65" t="n"/>
      <c r="R639" s="65" t="n"/>
      <c r="S639" s="65" t="n"/>
      <c r="T639" s="65" t="n"/>
      <c r="U639" s="65" t="n"/>
      <c r="V639" s="65" t="n"/>
      <c r="W639" s="65" t="n"/>
      <c r="X639" s="65" t="n"/>
      <c r="Y639" s="65" t="n"/>
      <c r="Z639" s="65" t="n"/>
    </row>
    <row r="640" ht="12.75" customHeight="1" s="85">
      <c r="A640" s="65" t="n"/>
      <c r="B640" s="72" t="n"/>
      <c r="C640" s="65" t="n"/>
      <c r="D640" s="65" t="n"/>
      <c r="E640" s="65" t="n"/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65" t="n"/>
      <c r="R640" s="65" t="n"/>
      <c r="S640" s="65" t="n"/>
      <c r="T640" s="65" t="n"/>
      <c r="U640" s="65" t="n"/>
      <c r="V640" s="65" t="n"/>
      <c r="W640" s="65" t="n"/>
      <c r="X640" s="65" t="n"/>
      <c r="Y640" s="65" t="n"/>
      <c r="Z640" s="65" t="n"/>
    </row>
    <row r="641" ht="12.75" customHeight="1" s="85">
      <c r="A641" s="65" t="n"/>
      <c r="B641" s="72" t="n"/>
      <c r="C641" s="65" t="n"/>
      <c r="D641" s="65" t="n"/>
      <c r="E641" s="65" t="n"/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65" t="n"/>
      <c r="R641" s="65" t="n"/>
      <c r="S641" s="65" t="n"/>
      <c r="T641" s="65" t="n"/>
      <c r="U641" s="65" t="n"/>
      <c r="V641" s="65" t="n"/>
      <c r="W641" s="65" t="n"/>
      <c r="X641" s="65" t="n"/>
      <c r="Y641" s="65" t="n"/>
      <c r="Z641" s="65" t="n"/>
    </row>
    <row r="642" ht="12.75" customHeight="1" s="85">
      <c r="A642" s="65" t="n"/>
      <c r="B642" s="72" t="n"/>
      <c r="C642" s="65" t="n"/>
      <c r="D642" s="65" t="n"/>
      <c r="E642" s="65" t="n"/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65" t="n"/>
      <c r="R642" s="65" t="n"/>
      <c r="S642" s="65" t="n"/>
      <c r="T642" s="65" t="n"/>
      <c r="U642" s="65" t="n"/>
      <c r="V642" s="65" t="n"/>
      <c r="W642" s="65" t="n"/>
      <c r="X642" s="65" t="n"/>
      <c r="Y642" s="65" t="n"/>
      <c r="Z642" s="65" t="n"/>
    </row>
    <row r="643" ht="12.75" customHeight="1" s="85">
      <c r="A643" s="65" t="n"/>
      <c r="B643" s="72" t="n"/>
      <c r="C643" s="65" t="n"/>
      <c r="D643" s="65" t="n"/>
      <c r="E643" s="65" t="n"/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65" t="n"/>
      <c r="R643" s="65" t="n"/>
      <c r="S643" s="65" t="n"/>
      <c r="T643" s="65" t="n"/>
      <c r="U643" s="65" t="n"/>
      <c r="V643" s="65" t="n"/>
      <c r="W643" s="65" t="n"/>
      <c r="X643" s="65" t="n"/>
      <c r="Y643" s="65" t="n"/>
      <c r="Z643" s="65" t="n"/>
    </row>
    <row r="644" ht="12.75" customHeight="1" s="85">
      <c r="A644" s="65" t="n"/>
      <c r="B644" s="72" t="n"/>
      <c r="C644" s="65" t="n"/>
      <c r="D644" s="65" t="n"/>
      <c r="E644" s="65" t="n"/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65" t="n"/>
      <c r="R644" s="65" t="n"/>
      <c r="S644" s="65" t="n"/>
      <c r="T644" s="65" t="n"/>
      <c r="U644" s="65" t="n"/>
      <c r="V644" s="65" t="n"/>
      <c r="W644" s="65" t="n"/>
      <c r="X644" s="65" t="n"/>
      <c r="Y644" s="65" t="n"/>
      <c r="Z644" s="65" t="n"/>
    </row>
    <row r="645" ht="12.75" customHeight="1" s="85">
      <c r="A645" s="65" t="n"/>
      <c r="B645" s="72" t="n"/>
      <c r="C645" s="65" t="n"/>
      <c r="D645" s="65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65" t="n"/>
      <c r="R645" s="65" t="n"/>
      <c r="S645" s="65" t="n"/>
      <c r="T645" s="65" t="n"/>
      <c r="U645" s="65" t="n"/>
      <c r="V645" s="65" t="n"/>
      <c r="W645" s="65" t="n"/>
      <c r="X645" s="65" t="n"/>
      <c r="Y645" s="65" t="n"/>
      <c r="Z645" s="65" t="n"/>
    </row>
    <row r="646" ht="12.75" customHeight="1" s="85">
      <c r="A646" s="65" t="n"/>
      <c r="B646" s="72" t="n"/>
      <c r="C646" s="65" t="n"/>
      <c r="D646" s="65" t="n"/>
      <c r="E646" s="65" t="n"/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65" t="n"/>
      <c r="R646" s="65" t="n"/>
      <c r="S646" s="65" t="n"/>
      <c r="T646" s="65" t="n"/>
      <c r="U646" s="65" t="n"/>
      <c r="V646" s="65" t="n"/>
      <c r="W646" s="65" t="n"/>
      <c r="X646" s="65" t="n"/>
      <c r="Y646" s="65" t="n"/>
      <c r="Z646" s="65" t="n"/>
    </row>
    <row r="647" ht="12.75" customHeight="1" s="85">
      <c r="A647" s="65" t="n"/>
      <c r="B647" s="72" t="n"/>
      <c r="C647" s="65" t="n"/>
      <c r="D647" s="65" t="n"/>
      <c r="E647" s="65" t="n"/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65" t="n"/>
      <c r="R647" s="65" t="n"/>
      <c r="S647" s="65" t="n"/>
      <c r="T647" s="65" t="n"/>
      <c r="U647" s="65" t="n"/>
      <c r="V647" s="65" t="n"/>
      <c r="W647" s="65" t="n"/>
      <c r="X647" s="65" t="n"/>
      <c r="Y647" s="65" t="n"/>
      <c r="Z647" s="65" t="n"/>
    </row>
    <row r="648" ht="12.75" customHeight="1" s="85">
      <c r="A648" s="65" t="n"/>
      <c r="B648" s="72" t="n"/>
      <c r="C648" s="65" t="n"/>
      <c r="D648" s="65" t="n"/>
      <c r="E648" s="65" t="n"/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65" t="n"/>
      <c r="R648" s="65" t="n"/>
      <c r="S648" s="65" t="n"/>
      <c r="T648" s="65" t="n"/>
      <c r="U648" s="65" t="n"/>
      <c r="V648" s="65" t="n"/>
      <c r="W648" s="65" t="n"/>
      <c r="X648" s="65" t="n"/>
      <c r="Y648" s="65" t="n"/>
      <c r="Z648" s="65" t="n"/>
    </row>
    <row r="649" ht="12.75" customHeight="1" s="85">
      <c r="A649" s="65" t="n"/>
      <c r="B649" s="72" t="n"/>
      <c r="C649" s="65" t="n"/>
      <c r="D649" s="65" t="n"/>
      <c r="E649" s="65" t="n"/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65" t="n"/>
      <c r="R649" s="65" t="n"/>
      <c r="S649" s="65" t="n"/>
      <c r="T649" s="65" t="n"/>
      <c r="U649" s="65" t="n"/>
      <c r="V649" s="65" t="n"/>
      <c r="W649" s="65" t="n"/>
      <c r="X649" s="65" t="n"/>
      <c r="Y649" s="65" t="n"/>
      <c r="Z649" s="65" t="n"/>
    </row>
    <row r="650" ht="12.75" customHeight="1" s="85">
      <c r="A650" s="65" t="n"/>
      <c r="B650" s="72" t="n"/>
      <c r="C650" s="65" t="n"/>
      <c r="D650" s="65" t="n"/>
      <c r="E650" s="65" t="n"/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65" t="n"/>
      <c r="R650" s="65" t="n"/>
      <c r="S650" s="65" t="n"/>
      <c r="T650" s="65" t="n"/>
      <c r="U650" s="65" t="n"/>
      <c r="V650" s="65" t="n"/>
      <c r="W650" s="65" t="n"/>
      <c r="X650" s="65" t="n"/>
      <c r="Y650" s="65" t="n"/>
      <c r="Z650" s="65" t="n"/>
    </row>
    <row r="651" ht="12.75" customHeight="1" s="85">
      <c r="A651" s="65" t="n"/>
      <c r="B651" s="72" t="n"/>
      <c r="C651" s="65" t="n"/>
      <c r="D651" s="65" t="n"/>
      <c r="E651" s="65" t="n"/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65" t="n"/>
      <c r="R651" s="65" t="n"/>
      <c r="S651" s="65" t="n"/>
      <c r="T651" s="65" t="n"/>
      <c r="U651" s="65" t="n"/>
      <c r="V651" s="65" t="n"/>
      <c r="W651" s="65" t="n"/>
      <c r="X651" s="65" t="n"/>
      <c r="Y651" s="65" t="n"/>
      <c r="Z651" s="65" t="n"/>
    </row>
    <row r="652" ht="12.75" customHeight="1" s="85">
      <c r="A652" s="65" t="n"/>
      <c r="B652" s="72" t="n"/>
      <c r="C652" s="65" t="n"/>
      <c r="D652" s="65" t="n"/>
      <c r="E652" s="65" t="n"/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  <c r="Z652" s="65" t="n"/>
    </row>
    <row r="653" ht="12.75" customHeight="1" s="85">
      <c r="A653" s="65" t="n"/>
      <c r="B653" s="72" t="n"/>
      <c r="C653" s="65" t="n"/>
      <c r="D653" s="65" t="n"/>
      <c r="E653" s="65" t="n"/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65" t="n"/>
      <c r="R653" s="65" t="n"/>
      <c r="S653" s="65" t="n"/>
      <c r="T653" s="65" t="n"/>
      <c r="U653" s="65" t="n"/>
      <c r="V653" s="65" t="n"/>
      <c r="W653" s="65" t="n"/>
      <c r="X653" s="65" t="n"/>
      <c r="Y653" s="65" t="n"/>
      <c r="Z653" s="65" t="n"/>
    </row>
    <row r="654" ht="12.75" customHeight="1" s="85">
      <c r="A654" s="65" t="n"/>
      <c r="B654" s="72" t="n"/>
      <c r="C654" s="65" t="n"/>
      <c r="D654" s="65" t="n"/>
      <c r="E654" s="65" t="n"/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65" t="n"/>
      <c r="R654" s="65" t="n"/>
      <c r="S654" s="65" t="n"/>
      <c r="T654" s="65" t="n"/>
      <c r="U654" s="65" t="n"/>
      <c r="V654" s="65" t="n"/>
      <c r="W654" s="65" t="n"/>
      <c r="X654" s="65" t="n"/>
      <c r="Y654" s="65" t="n"/>
      <c r="Z654" s="65" t="n"/>
    </row>
    <row r="655" ht="12.75" customHeight="1" s="85">
      <c r="A655" s="65" t="n"/>
      <c r="B655" s="72" t="n"/>
      <c r="C655" s="65" t="n"/>
      <c r="D655" s="65" t="n"/>
      <c r="E655" s="65" t="n"/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65" t="n"/>
      <c r="R655" s="65" t="n"/>
      <c r="S655" s="65" t="n"/>
      <c r="T655" s="65" t="n"/>
      <c r="U655" s="65" t="n"/>
      <c r="V655" s="65" t="n"/>
      <c r="W655" s="65" t="n"/>
      <c r="X655" s="65" t="n"/>
      <c r="Y655" s="65" t="n"/>
      <c r="Z655" s="65" t="n"/>
    </row>
    <row r="656" ht="12.75" customHeight="1" s="85">
      <c r="A656" s="65" t="n"/>
      <c r="B656" s="72" t="n"/>
      <c r="C656" s="65" t="n"/>
      <c r="D656" s="65" t="n"/>
      <c r="E656" s="65" t="n"/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65" t="n"/>
      <c r="R656" s="65" t="n"/>
      <c r="S656" s="65" t="n"/>
      <c r="T656" s="65" t="n"/>
      <c r="U656" s="65" t="n"/>
      <c r="V656" s="65" t="n"/>
      <c r="W656" s="65" t="n"/>
      <c r="X656" s="65" t="n"/>
      <c r="Y656" s="65" t="n"/>
      <c r="Z656" s="65" t="n"/>
    </row>
    <row r="657" ht="12.75" customHeight="1" s="85">
      <c r="A657" s="65" t="n"/>
      <c r="B657" s="72" t="n"/>
      <c r="C657" s="65" t="n"/>
      <c r="D657" s="65" t="n"/>
      <c r="E657" s="65" t="n"/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65" t="n"/>
      <c r="R657" s="65" t="n"/>
      <c r="S657" s="65" t="n"/>
      <c r="T657" s="65" t="n"/>
      <c r="U657" s="65" t="n"/>
      <c r="V657" s="65" t="n"/>
      <c r="W657" s="65" t="n"/>
      <c r="X657" s="65" t="n"/>
      <c r="Y657" s="65" t="n"/>
      <c r="Z657" s="65" t="n"/>
    </row>
    <row r="658" ht="12.75" customHeight="1" s="85">
      <c r="A658" s="65" t="n"/>
      <c r="B658" s="72" t="n"/>
      <c r="C658" s="65" t="n"/>
      <c r="D658" s="65" t="n"/>
      <c r="E658" s="65" t="n"/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65" t="n"/>
      <c r="R658" s="65" t="n"/>
      <c r="S658" s="65" t="n"/>
      <c r="T658" s="65" t="n"/>
      <c r="U658" s="65" t="n"/>
      <c r="V658" s="65" t="n"/>
      <c r="W658" s="65" t="n"/>
      <c r="X658" s="65" t="n"/>
      <c r="Y658" s="65" t="n"/>
      <c r="Z658" s="65" t="n"/>
    </row>
    <row r="659" ht="12.75" customHeight="1" s="85">
      <c r="A659" s="65" t="n"/>
      <c r="B659" s="72" t="n"/>
      <c r="C659" s="65" t="n"/>
      <c r="D659" s="65" t="n"/>
      <c r="E659" s="65" t="n"/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65" t="n"/>
      <c r="R659" s="65" t="n"/>
      <c r="S659" s="65" t="n"/>
      <c r="T659" s="65" t="n"/>
      <c r="U659" s="65" t="n"/>
      <c r="V659" s="65" t="n"/>
      <c r="W659" s="65" t="n"/>
      <c r="X659" s="65" t="n"/>
      <c r="Y659" s="65" t="n"/>
      <c r="Z659" s="65" t="n"/>
    </row>
    <row r="660" ht="12.75" customHeight="1" s="85">
      <c r="A660" s="65" t="n"/>
      <c r="B660" s="72" t="n"/>
      <c r="C660" s="65" t="n"/>
      <c r="D660" s="65" t="n"/>
      <c r="E660" s="65" t="n"/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65" t="n"/>
      <c r="R660" s="65" t="n"/>
      <c r="S660" s="65" t="n"/>
      <c r="T660" s="65" t="n"/>
      <c r="U660" s="65" t="n"/>
      <c r="V660" s="65" t="n"/>
      <c r="W660" s="65" t="n"/>
      <c r="X660" s="65" t="n"/>
      <c r="Y660" s="65" t="n"/>
      <c r="Z660" s="65" t="n"/>
    </row>
    <row r="661" ht="12.75" customHeight="1" s="85">
      <c r="A661" s="65" t="n"/>
      <c r="B661" s="72" t="n"/>
      <c r="C661" s="65" t="n"/>
      <c r="D661" s="65" t="n"/>
      <c r="E661" s="65" t="n"/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65" t="n"/>
      <c r="R661" s="65" t="n"/>
      <c r="S661" s="65" t="n"/>
      <c r="T661" s="65" t="n"/>
      <c r="U661" s="65" t="n"/>
      <c r="V661" s="65" t="n"/>
      <c r="W661" s="65" t="n"/>
      <c r="X661" s="65" t="n"/>
      <c r="Y661" s="65" t="n"/>
      <c r="Z661" s="65" t="n"/>
    </row>
    <row r="662" ht="12.75" customHeight="1" s="85">
      <c r="A662" s="65" t="n"/>
      <c r="B662" s="72" t="n"/>
      <c r="C662" s="65" t="n"/>
      <c r="D662" s="65" t="n"/>
      <c r="E662" s="65" t="n"/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65" t="n"/>
      <c r="R662" s="65" t="n"/>
      <c r="S662" s="65" t="n"/>
      <c r="T662" s="65" t="n"/>
      <c r="U662" s="65" t="n"/>
      <c r="V662" s="65" t="n"/>
      <c r="W662" s="65" t="n"/>
      <c r="X662" s="65" t="n"/>
      <c r="Y662" s="65" t="n"/>
      <c r="Z662" s="65" t="n"/>
    </row>
    <row r="663" ht="12.75" customHeight="1" s="85">
      <c r="A663" s="65" t="n"/>
      <c r="B663" s="72" t="n"/>
      <c r="C663" s="65" t="n"/>
      <c r="D663" s="65" t="n"/>
      <c r="E663" s="65" t="n"/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65" t="n"/>
      <c r="R663" s="65" t="n"/>
      <c r="S663" s="65" t="n"/>
      <c r="T663" s="65" t="n"/>
      <c r="U663" s="65" t="n"/>
      <c r="V663" s="65" t="n"/>
      <c r="W663" s="65" t="n"/>
      <c r="X663" s="65" t="n"/>
      <c r="Y663" s="65" t="n"/>
      <c r="Z663" s="65" t="n"/>
    </row>
    <row r="664" ht="12.75" customHeight="1" s="85">
      <c r="A664" s="65" t="n"/>
      <c r="B664" s="72" t="n"/>
      <c r="C664" s="65" t="n"/>
      <c r="D664" s="65" t="n"/>
      <c r="E664" s="65" t="n"/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65" t="n"/>
      <c r="R664" s="65" t="n"/>
      <c r="S664" s="65" t="n"/>
      <c r="T664" s="65" t="n"/>
      <c r="U664" s="65" t="n"/>
      <c r="V664" s="65" t="n"/>
      <c r="W664" s="65" t="n"/>
      <c r="X664" s="65" t="n"/>
      <c r="Y664" s="65" t="n"/>
      <c r="Z664" s="65" t="n"/>
    </row>
    <row r="665" ht="12.75" customHeight="1" s="85">
      <c r="A665" s="65" t="n"/>
      <c r="B665" s="72" t="n"/>
      <c r="C665" s="65" t="n"/>
      <c r="D665" s="65" t="n"/>
      <c r="E665" s="65" t="n"/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65" t="n"/>
      <c r="R665" s="65" t="n"/>
      <c r="S665" s="65" t="n"/>
      <c r="T665" s="65" t="n"/>
      <c r="U665" s="65" t="n"/>
      <c r="V665" s="65" t="n"/>
      <c r="W665" s="65" t="n"/>
      <c r="X665" s="65" t="n"/>
      <c r="Y665" s="65" t="n"/>
      <c r="Z665" s="65" t="n"/>
    </row>
    <row r="666" ht="12.75" customHeight="1" s="85">
      <c r="A666" s="65" t="n"/>
      <c r="B666" s="72" t="n"/>
      <c r="C666" s="65" t="n"/>
      <c r="D666" s="65" t="n"/>
      <c r="E666" s="65" t="n"/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65" t="n"/>
      <c r="R666" s="65" t="n"/>
      <c r="S666" s="65" t="n"/>
      <c r="T666" s="65" t="n"/>
      <c r="U666" s="65" t="n"/>
      <c r="V666" s="65" t="n"/>
      <c r="W666" s="65" t="n"/>
      <c r="X666" s="65" t="n"/>
      <c r="Y666" s="65" t="n"/>
      <c r="Z666" s="65" t="n"/>
    </row>
    <row r="667" ht="12.75" customHeight="1" s="85">
      <c r="A667" s="65" t="n"/>
      <c r="B667" s="72" t="n"/>
      <c r="C667" s="65" t="n"/>
      <c r="D667" s="65" t="n"/>
      <c r="E667" s="65" t="n"/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65" t="n"/>
      <c r="R667" s="65" t="n"/>
      <c r="S667" s="65" t="n"/>
      <c r="T667" s="65" t="n"/>
      <c r="U667" s="65" t="n"/>
      <c r="V667" s="65" t="n"/>
      <c r="W667" s="65" t="n"/>
      <c r="X667" s="65" t="n"/>
      <c r="Y667" s="65" t="n"/>
      <c r="Z667" s="65" t="n"/>
    </row>
    <row r="668" ht="12.75" customHeight="1" s="85">
      <c r="A668" s="65" t="n"/>
      <c r="B668" s="72" t="n"/>
      <c r="C668" s="65" t="n"/>
      <c r="D668" s="65" t="n"/>
      <c r="E668" s="65" t="n"/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65" t="n"/>
      <c r="R668" s="65" t="n"/>
      <c r="S668" s="65" t="n"/>
      <c r="T668" s="65" t="n"/>
      <c r="U668" s="65" t="n"/>
      <c r="V668" s="65" t="n"/>
      <c r="W668" s="65" t="n"/>
      <c r="X668" s="65" t="n"/>
      <c r="Y668" s="65" t="n"/>
      <c r="Z668" s="65" t="n"/>
    </row>
    <row r="669" ht="12.75" customHeight="1" s="85">
      <c r="A669" s="65" t="n"/>
      <c r="B669" s="72" t="n"/>
      <c r="C669" s="65" t="n"/>
      <c r="D669" s="65" t="n"/>
      <c r="E669" s="65" t="n"/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65" t="n"/>
      <c r="R669" s="65" t="n"/>
      <c r="S669" s="65" t="n"/>
      <c r="T669" s="65" t="n"/>
      <c r="U669" s="65" t="n"/>
      <c r="V669" s="65" t="n"/>
      <c r="W669" s="65" t="n"/>
      <c r="X669" s="65" t="n"/>
      <c r="Y669" s="65" t="n"/>
      <c r="Z669" s="65" t="n"/>
    </row>
    <row r="670" ht="12.75" customHeight="1" s="85">
      <c r="A670" s="65" t="n"/>
      <c r="B670" s="72" t="n"/>
      <c r="C670" s="65" t="n"/>
      <c r="D670" s="65" t="n"/>
      <c r="E670" s="65" t="n"/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65" t="n"/>
      <c r="R670" s="65" t="n"/>
      <c r="S670" s="65" t="n"/>
      <c r="T670" s="65" t="n"/>
      <c r="U670" s="65" t="n"/>
      <c r="V670" s="65" t="n"/>
      <c r="W670" s="65" t="n"/>
      <c r="X670" s="65" t="n"/>
      <c r="Y670" s="65" t="n"/>
      <c r="Z670" s="65" t="n"/>
    </row>
    <row r="671" ht="12.75" customHeight="1" s="85">
      <c r="A671" s="65" t="n"/>
      <c r="B671" s="72" t="n"/>
      <c r="C671" s="65" t="n"/>
      <c r="D671" s="65" t="n"/>
      <c r="E671" s="65" t="n"/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65" t="n"/>
      <c r="T671" s="65" t="n"/>
      <c r="U671" s="65" t="n"/>
      <c r="V671" s="65" t="n"/>
      <c r="W671" s="65" t="n"/>
      <c r="X671" s="65" t="n"/>
      <c r="Y671" s="65" t="n"/>
      <c r="Z671" s="65" t="n"/>
    </row>
    <row r="672" ht="12.75" customHeight="1" s="85">
      <c r="A672" s="65" t="n"/>
      <c r="B672" s="72" t="n"/>
      <c r="C672" s="65" t="n"/>
      <c r="D672" s="65" t="n"/>
      <c r="E672" s="65" t="n"/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65" t="n"/>
      <c r="T672" s="65" t="n"/>
      <c r="U672" s="65" t="n"/>
      <c r="V672" s="65" t="n"/>
      <c r="W672" s="65" t="n"/>
      <c r="X672" s="65" t="n"/>
      <c r="Y672" s="65" t="n"/>
      <c r="Z672" s="65" t="n"/>
    </row>
    <row r="673" ht="12.75" customHeight="1" s="85">
      <c r="A673" s="65" t="n"/>
      <c r="B673" s="72" t="n"/>
      <c r="C673" s="65" t="n"/>
      <c r="D673" s="65" t="n"/>
      <c r="E673" s="65" t="n"/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65" t="n"/>
      <c r="R673" s="65" t="n"/>
      <c r="S673" s="65" t="n"/>
      <c r="T673" s="65" t="n"/>
      <c r="U673" s="65" t="n"/>
      <c r="V673" s="65" t="n"/>
      <c r="W673" s="65" t="n"/>
      <c r="X673" s="65" t="n"/>
      <c r="Y673" s="65" t="n"/>
      <c r="Z673" s="65" t="n"/>
    </row>
    <row r="674" ht="12.75" customHeight="1" s="85">
      <c r="A674" s="65" t="n"/>
      <c r="B674" s="72" t="n"/>
      <c r="C674" s="65" t="n"/>
      <c r="D674" s="65" t="n"/>
      <c r="E674" s="65" t="n"/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65" t="n"/>
      <c r="R674" s="65" t="n"/>
      <c r="S674" s="65" t="n"/>
      <c r="T674" s="65" t="n"/>
      <c r="U674" s="65" t="n"/>
      <c r="V674" s="65" t="n"/>
      <c r="W674" s="65" t="n"/>
      <c r="X674" s="65" t="n"/>
      <c r="Y674" s="65" t="n"/>
      <c r="Z674" s="65" t="n"/>
    </row>
    <row r="675" ht="12.75" customHeight="1" s="85">
      <c r="A675" s="65" t="n"/>
      <c r="B675" s="72" t="n"/>
      <c r="C675" s="65" t="n"/>
      <c r="D675" s="65" t="n"/>
      <c r="E675" s="65" t="n"/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65" t="n"/>
      <c r="R675" s="65" t="n"/>
      <c r="S675" s="65" t="n"/>
      <c r="T675" s="65" t="n"/>
      <c r="U675" s="65" t="n"/>
      <c r="V675" s="65" t="n"/>
      <c r="W675" s="65" t="n"/>
      <c r="X675" s="65" t="n"/>
      <c r="Y675" s="65" t="n"/>
      <c r="Z675" s="65" t="n"/>
    </row>
    <row r="676" ht="12.75" customHeight="1" s="85">
      <c r="A676" s="65" t="n"/>
      <c r="B676" s="72" t="n"/>
      <c r="C676" s="65" t="n"/>
      <c r="D676" s="65" t="n"/>
      <c r="E676" s="65" t="n"/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65" t="n"/>
      <c r="T676" s="65" t="n"/>
      <c r="U676" s="65" t="n"/>
      <c r="V676" s="65" t="n"/>
      <c r="W676" s="65" t="n"/>
      <c r="X676" s="65" t="n"/>
      <c r="Y676" s="65" t="n"/>
      <c r="Z676" s="65" t="n"/>
    </row>
    <row r="677" ht="12.75" customHeight="1" s="85">
      <c r="A677" s="65" t="n"/>
      <c r="B677" s="72" t="n"/>
      <c r="C677" s="65" t="n"/>
      <c r="D677" s="65" t="n"/>
      <c r="E677" s="65" t="n"/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65" t="n"/>
      <c r="R677" s="65" t="n"/>
      <c r="S677" s="65" t="n"/>
      <c r="T677" s="65" t="n"/>
      <c r="U677" s="65" t="n"/>
      <c r="V677" s="65" t="n"/>
      <c r="W677" s="65" t="n"/>
      <c r="X677" s="65" t="n"/>
      <c r="Y677" s="65" t="n"/>
      <c r="Z677" s="65" t="n"/>
    </row>
    <row r="678" ht="12.75" customHeight="1" s="85">
      <c r="A678" s="65" t="n"/>
      <c r="B678" s="72" t="n"/>
      <c r="C678" s="65" t="n"/>
      <c r="D678" s="65" t="n"/>
      <c r="E678" s="65" t="n"/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65" t="n"/>
      <c r="T678" s="65" t="n"/>
      <c r="U678" s="65" t="n"/>
      <c r="V678" s="65" t="n"/>
      <c r="W678" s="65" t="n"/>
      <c r="X678" s="65" t="n"/>
      <c r="Y678" s="65" t="n"/>
      <c r="Z678" s="65" t="n"/>
    </row>
    <row r="679" ht="12.75" customHeight="1" s="85">
      <c r="A679" s="65" t="n"/>
      <c r="B679" s="72" t="n"/>
      <c r="C679" s="65" t="n"/>
      <c r="D679" s="65" t="n"/>
      <c r="E679" s="65" t="n"/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65" t="n"/>
      <c r="R679" s="65" t="n"/>
      <c r="S679" s="65" t="n"/>
      <c r="T679" s="65" t="n"/>
      <c r="U679" s="65" t="n"/>
      <c r="V679" s="65" t="n"/>
      <c r="W679" s="65" t="n"/>
      <c r="X679" s="65" t="n"/>
      <c r="Y679" s="65" t="n"/>
      <c r="Z679" s="65" t="n"/>
    </row>
    <row r="680" ht="12.75" customHeight="1" s="85">
      <c r="A680" s="65" t="n"/>
      <c r="B680" s="72" t="n"/>
      <c r="C680" s="65" t="n"/>
      <c r="D680" s="65" t="n"/>
      <c r="E680" s="65" t="n"/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65" t="n"/>
      <c r="R680" s="65" t="n"/>
      <c r="S680" s="65" t="n"/>
      <c r="T680" s="65" t="n"/>
      <c r="U680" s="65" t="n"/>
      <c r="V680" s="65" t="n"/>
      <c r="W680" s="65" t="n"/>
      <c r="X680" s="65" t="n"/>
      <c r="Y680" s="65" t="n"/>
      <c r="Z680" s="65" t="n"/>
    </row>
    <row r="681" ht="12.75" customHeight="1" s="85">
      <c r="A681" s="65" t="n"/>
      <c r="B681" s="72" t="n"/>
      <c r="C681" s="65" t="n"/>
      <c r="D681" s="65" t="n"/>
      <c r="E681" s="65" t="n"/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65" t="n"/>
      <c r="R681" s="65" t="n"/>
      <c r="S681" s="65" t="n"/>
      <c r="T681" s="65" t="n"/>
      <c r="U681" s="65" t="n"/>
      <c r="V681" s="65" t="n"/>
      <c r="W681" s="65" t="n"/>
      <c r="X681" s="65" t="n"/>
      <c r="Y681" s="65" t="n"/>
      <c r="Z681" s="65" t="n"/>
    </row>
    <row r="682" ht="12.75" customHeight="1" s="85">
      <c r="A682" s="65" t="n"/>
      <c r="B682" s="72" t="n"/>
      <c r="C682" s="65" t="n"/>
      <c r="D682" s="65" t="n"/>
      <c r="E682" s="65" t="n"/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65" t="n"/>
      <c r="T682" s="65" t="n"/>
      <c r="U682" s="65" t="n"/>
      <c r="V682" s="65" t="n"/>
      <c r="W682" s="65" t="n"/>
      <c r="X682" s="65" t="n"/>
      <c r="Y682" s="65" t="n"/>
      <c r="Z682" s="65" t="n"/>
    </row>
    <row r="683" ht="12.75" customHeight="1" s="85">
      <c r="A683" s="65" t="n"/>
      <c r="B683" s="72" t="n"/>
      <c r="C683" s="65" t="n"/>
      <c r="D683" s="65" t="n"/>
      <c r="E683" s="65" t="n"/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65" t="n"/>
      <c r="R683" s="65" t="n"/>
      <c r="S683" s="65" t="n"/>
      <c r="T683" s="65" t="n"/>
      <c r="U683" s="65" t="n"/>
      <c r="V683" s="65" t="n"/>
      <c r="W683" s="65" t="n"/>
      <c r="X683" s="65" t="n"/>
      <c r="Y683" s="65" t="n"/>
      <c r="Z683" s="65" t="n"/>
    </row>
    <row r="684" ht="12.75" customHeight="1" s="85">
      <c r="A684" s="65" t="n"/>
      <c r="B684" s="72" t="n"/>
      <c r="C684" s="65" t="n"/>
      <c r="D684" s="65" t="n"/>
      <c r="E684" s="65" t="n"/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65" t="n"/>
      <c r="R684" s="65" t="n"/>
      <c r="S684" s="65" t="n"/>
      <c r="T684" s="65" t="n"/>
      <c r="U684" s="65" t="n"/>
      <c r="V684" s="65" t="n"/>
      <c r="W684" s="65" t="n"/>
      <c r="X684" s="65" t="n"/>
      <c r="Y684" s="65" t="n"/>
      <c r="Z684" s="65" t="n"/>
    </row>
    <row r="685" ht="12.75" customHeight="1" s="85">
      <c r="A685" s="65" t="n"/>
      <c r="B685" s="72" t="n"/>
      <c r="C685" s="65" t="n"/>
      <c r="D685" s="65" t="n"/>
      <c r="E685" s="65" t="n"/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65" t="n"/>
      <c r="R685" s="65" t="n"/>
      <c r="S685" s="65" t="n"/>
      <c r="T685" s="65" t="n"/>
      <c r="U685" s="65" t="n"/>
      <c r="V685" s="65" t="n"/>
      <c r="W685" s="65" t="n"/>
      <c r="X685" s="65" t="n"/>
      <c r="Y685" s="65" t="n"/>
      <c r="Z685" s="65" t="n"/>
    </row>
    <row r="686" ht="12.75" customHeight="1" s="85">
      <c r="A686" s="65" t="n"/>
      <c r="B686" s="72" t="n"/>
      <c r="C686" s="65" t="n"/>
      <c r="D686" s="65" t="n"/>
      <c r="E686" s="65" t="n"/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65" t="n"/>
      <c r="R686" s="65" t="n"/>
      <c r="S686" s="65" t="n"/>
      <c r="T686" s="65" t="n"/>
      <c r="U686" s="65" t="n"/>
      <c r="V686" s="65" t="n"/>
      <c r="W686" s="65" t="n"/>
      <c r="X686" s="65" t="n"/>
      <c r="Y686" s="65" t="n"/>
      <c r="Z686" s="65" t="n"/>
    </row>
    <row r="687" ht="12.75" customHeight="1" s="85">
      <c r="A687" s="65" t="n"/>
      <c r="B687" s="72" t="n"/>
      <c r="C687" s="65" t="n"/>
      <c r="D687" s="65" t="n"/>
      <c r="E687" s="65" t="n"/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65" t="n"/>
      <c r="T687" s="65" t="n"/>
      <c r="U687" s="65" t="n"/>
      <c r="V687" s="65" t="n"/>
      <c r="W687" s="65" t="n"/>
      <c r="X687" s="65" t="n"/>
      <c r="Y687" s="65" t="n"/>
      <c r="Z687" s="65" t="n"/>
    </row>
    <row r="688" ht="12.75" customHeight="1" s="85">
      <c r="A688" s="65" t="n"/>
      <c r="B688" s="72" t="n"/>
      <c r="C688" s="65" t="n"/>
      <c r="D688" s="65" t="n"/>
      <c r="E688" s="65" t="n"/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65" t="n"/>
      <c r="R688" s="65" t="n"/>
      <c r="S688" s="65" t="n"/>
      <c r="T688" s="65" t="n"/>
      <c r="U688" s="65" t="n"/>
      <c r="V688" s="65" t="n"/>
      <c r="W688" s="65" t="n"/>
      <c r="X688" s="65" t="n"/>
      <c r="Y688" s="65" t="n"/>
      <c r="Z688" s="65" t="n"/>
    </row>
    <row r="689" ht="12.75" customHeight="1" s="85">
      <c r="A689" s="65" t="n"/>
      <c r="B689" s="72" t="n"/>
      <c r="C689" s="65" t="n"/>
      <c r="D689" s="65" t="n"/>
      <c r="E689" s="65" t="n"/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65" t="n"/>
      <c r="R689" s="65" t="n"/>
      <c r="S689" s="65" t="n"/>
      <c r="T689" s="65" t="n"/>
      <c r="U689" s="65" t="n"/>
      <c r="V689" s="65" t="n"/>
      <c r="W689" s="65" t="n"/>
      <c r="X689" s="65" t="n"/>
      <c r="Y689" s="65" t="n"/>
      <c r="Z689" s="65" t="n"/>
    </row>
    <row r="690" ht="12.75" customHeight="1" s="85">
      <c r="A690" s="65" t="n"/>
      <c r="B690" s="72" t="n"/>
      <c r="C690" s="65" t="n"/>
      <c r="D690" s="65" t="n"/>
      <c r="E690" s="65" t="n"/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65" t="n"/>
      <c r="T690" s="65" t="n"/>
      <c r="U690" s="65" t="n"/>
      <c r="V690" s="65" t="n"/>
      <c r="W690" s="65" t="n"/>
      <c r="X690" s="65" t="n"/>
      <c r="Y690" s="65" t="n"/>
      <c r="Z690" s="65" t="n"/>
    </row>
    <row r="691" ht="12.75" customHeight="1" s="85">
      <c r="A691" s="65" t="n"/>
      <c r="B691" s="72" t="n"/>
      <c r="C691" s="65" t="n"/>
      <c r="D691" s="65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65" t="n"/>
      <c r="R691" s="65" t="n"/>
      <c r="S691" s="65" t="n"/>
      <c r="T691" s="65" t="n"/>
      <c r="U691" s="65" t="n"/>
      <c r="V691" s="65" t="n"/>
      <c r="W691" s="65" t="n"/>
      <c r="X691" s="65" t="n"/>
      <c r="Y691" s="65" t="n"/>
      <c r="Z691" s="65" t="n"/>
    </row>
    <row r="692" ht="12.75" customHeight="1" s="85">
      <c r="A692" s="65" t="n"/>
      <c r="B692" s="72" t="n"/>
      <c r="C692" s="65" t="n"/>
      <c r="D692" s="65" t="n"/>
      <c r="E692" s="65" t="n"/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65" t="n"/>
      <c r="T692" s="65" t="n"/>
      <c r="U692" s="65" t="n"/>
      <c r="V692" s="65" t="n"/>
      <c r="W692" s="65" t="n"/>
      <c r="X692" s="65" t="n"/>
      <c r="Y692" s="65" t="n"/>
      <c r="Z692" s="65" t="n"/>
    </row>
    <row r="693" ht="12.75" customHeight="1" s="85">
      <c r="A693" s="65" t="n"/>
      <c r="B693" s="72" t="n"/>
      <c r="C693" s="65" t="n"/>
      <c r="D693" s="65" t="n"/>
      <c r="E693" s="65" t="n"/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65" t="n"/>
      <c r="R693" s="65" t="n"/>
      <c r="S693" s="65" t="n"/>
      <c r="T693" s="65" t="n"/>
      <c r="U693" s="65" t="n"/>
      <c r="V693" s="65" t="n"/>
      <c r="W693" s="65" t="n"/>
      <c r="X693" s="65" t="n"/>
      <c r="Y693" s="65" t="n"/>
      <c r="Z693" s="65" t="n"/>
    </row>
    <row r="694" ht="12.75" customHeight="1" s="85">
      <c r="A694" s="65" t="n"/>
      <c r="B694" s="72" t="n"/>
      <c r="C694" s="65" t="n"/>
      <c r="D694" s="65" t="n"/>
      <c r="E694" s="65" t="n"/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65" t="n"/>
      <c r="T694" s="65" t="n"/>
      <c r="U694" s="65" t="n"/>
      <c r="V694" s="65" t="n"/>
      <c r="W694" s="65" t="n"/>
      <c r="X694" s="65" t="n"/>
      <c r="Y694" s="65" t="n"/>
      <c r="Z694" s="65" t="n"/>
    </row>
    <row r="695" ht="12.75" customHeight="1" s="85">
      <c r="A695" s="65" t="n"/>
      <c r="B695" s="72" t="n"/>
      <c r="C695" s="65" t="n"/>
      <c r="D695" s="65" t="n"/>
      <c r="E695" s="65" t="n"/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65" t="n"/>
      <c r="R695" s="65" t="n"/>
      <c r="S695" s="65" t="n"/>
      <c r="T695" s="65" t="n"/>
      <c r="U695" s="65" t="n"/>
      <c r="V695" s="65" t="n"/>
      <c r="W695" s="65" t="n"/>
      <c r="X695" s="65" t="n"/>
      <c r="Y695" s="65" t="n"/>
      <c r="Z695" s="65" t="n"/>
    </row>
    <row r="696" ht="12.75" customHeight="1" s="85">
      <c r="A696" s="65" t="n"/>
      <c r="B696" s="72" t="n"/>
      <c r="C696" s="65" t="n"/>
      <c r="D696" s="65" t="n"/>
      <c r="E696" s="65" t="n"/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65" t="n"/>
      <c r="R696" s="65" t="n"/>
      <c r="S696" s="65" t="n"/>
      <c r="T696" s="65" t="n"/>
      <c r="U696" s="65" t="n"/>
      <c r="V696" s="65" t="n"/>
      <c r="W696" s="65" t="n"/>
      <c r="X696" s="65" t="n"/>
      <c r="Y696" s="65" t="n"/>
      <c r="Z696" s="65" t="n"/>
    </row>
    <row r="697" ht="12.75" customHeight="1" s="85">
      <c r="A697" s="65" t="n"/>
      <c r="B697" s="72" t="n"/>
      <c r="C697" s="65" t="n"/>
      <c r="D697" s="65" t="n"/>
      <c r="E697" s="65" t="n"/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65" t="n"/>
      <c r="R697" s="65" t="n"/>
      <c r="S697" s="65" t="n"/>
      <c r="T697" s="65" t="n"/>
      <c r="U697" s="65" t="n"/>
      <c r="V697" s="65" t="n"/>
      <c r="W697" s="65" t="n"/>
      <c r="X697" s="65" t="n"/>
      <c r="Y697" s="65" t="n"/>
      <c r="Z697" s="65" t="n"/>
    </row>
    <row r="698" ht="12.75" customHeight="1" s="85">
      <c r="A698" s="65" t="n"/>
      <c r="B698" s="72" t="n"/>
      <c r="C698" s="65" t="n"/>
      <c r="D698" s="65" t="n"/>
      <c r="E698" s="65" t="n"/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65" t="n"/>
      <c r="T698" s="65" t="n"/>
      <c r="U698" s="65" t="n"/>
      <c r="V698" s="65" t="n"/>
      <c r="W698" s="65" t="n"/>
      <c r="X698" s="65" t="n"/>
      <c r="Y698" s="65" t="n"/>
      <c r="Z698" s="65" t="n"/>
    </row>
    <row r="699" ht="12.75" customHeight="1" s="85">
      <c r="A699" s="65" t="n"/>
      <c r="B699" s="72" t="n"/>
      <c r="C699" s="65" t="n"/>
      <c r="D699" s="65" t="n"/>
      <c r="E699" s="65" t="n"/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65" t="n"/>
      <c r="R699" s="65" t="n"/>
      <c r="S699" s="65" t="n"/>
      <c r="T699" s="65" t="n"/>
      <c r="U699" s="65" t="n"/>
      <c r="V699" s="65" t="n"/>
      <c r="W699" s="65" t="n"/>
      <c r="X699" s="65" t="n"/>
      <c r="Y699" s="65" t="n"/>
      <c r="Z699" s="65" t="n"/>
    </row>
    <row r="700" ht="12.75" customHeight="1" s="85">
      <c r="A700" s="65" t="n"/>
      <c r="B700" s="72" t="n"/>
      <c r="C700" s="65" t="n"/>
      <c r="D700" s="65" t="n"/>
      <c r="E700" s="65" t="n"/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65" t="n"/>
      <c r="T700" s="65" t="n"/>
      <c r="U700" s="65" t="n"/>
      <c r="V700" s="65" t="n"/>
      <c r="W700" s="65" t="n"/>
      <c r="X700" s="65" t="n"/>
      <c r="Y700" s="65" t="n"/>
      <c r="Z700" s="65" t="n"/>
    </row>
    <row r="701" ht="12.75" customHeight="1" s="85">
      <c r="A701" s="65" t="n"/>
      <c r="B701" s="72" t="n"/>
      <c r="C701" s="65" t="n"/>
      <c r="D701" s="65" t="n"/>
      <c r="E701" s="65" t="n"/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65" t="n"/>
      <c r="T701" s="65" t="n"/>
      <c r="U701" s="65" t="n"/>
      <c r="V701" s="65" t="n"/>
      <c r="W701" s="65" t="n"/>
      <c r="X701" s="65" t="n"/>
      <c r="Y701" s="65" t="n"/>
      <c r="Z701" s="65" t="n"/>
    </row>
    <row r="702" ht="12.75" customHeight="1" s="85">
      <c r="A702" s="65" t="n"/>
      <c r="B702" s="72" t="n"/>
      <c r="C702" s="65" t="n"/>
      <c r="D702" s="65" t="n"/>
      <c r="E702" s="65" t="n"/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65" t="n"/>
      <c r="R702" s="65" t="n"/>
      <c r="S702" s="65" t="n"/>
      <c r="T702" s="65" t="n"/>
      <c r="U702" s="65" t="n"/>
      <c r="V702" s="65" t="n"/>
      <c r="W702" s="65" t="n"/>
      <c r="X702" s="65" t="n"/>
      <c r="Y702" s="65" t="n"/>
      <c r="Z702" s="65" t="n"/>
    </row>
    <row r="703" ht="12.75" customHeight="1" s="85">
      <c r="A703" s="65" t="n"/>
      <c r="B703" s="72" t="n"/>
      <c r="C703" s="65" t="n"/>
      <c r="D703" s="65" t="n"/>
      <c r="E703" s="65" t="n"/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65" t="n"/>
      <c r="R703" s="65" t="n"/>
      <c r="S703" s="65" t="n"/>
      <c r="T703" s="65" t="n"/>
      <c r="U703" s="65" t="n"/>
      <c r="V703" s="65" t="n"/>
      <c r="W703" s="65" t="n"/>
      <c r="X703" s="65" t="n"/>
      <c r="Y703" s="65" t="n"/>
      <c r="Z703" s="65" t="n"/>
    </row>
    <row r="704" ht="12.75" customHeight="1" s="85">
      <c r="A704" s="65" t="n"/>
      <c r="B704" s="72" t="n"/>
      <c r="C704" s="65" t="n"/>
      <c r="D704" s="65" t="n"/>
      <c r="E704" s="65" t="n"/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65" t="n"/>
      <c r="R704" s="65" t="n"/>
      <c r="S704" s="65" t="n"/>
      <c r="T704" s="65" t="n"/>
      <c r="U704" s="65" t="n"/>
      <c r="V704" s="65" t="n"/>
      <c r="W704" s="65" t="n"/>
      <c r="X704" s="65" t="n"/>
      <c r="Y704" s="65" t="n"/>
      <c r="Z704" s="65" t="n"/>
    </row>
    <row r="705" ht="12.75" customHeight="1" s="85">
      <c r="A705" s="65" t="n"/>
      <c r="B705" s="72" t="n"/>
      <c r="C705" s="65" t="n"/>
      <c r="D705" s="65" t="n"/>
      <c r="E705" s="65" t="n"/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65" t="n"/>
      <c r="R705" s="65" t="n"/>
      <c r="S705" s="65" t="n"/>
      <c r="T705" s="65" t="n"/>
      <c r="U705" s="65" t="n"/>
      <c r="V705" s="65" t="n"/>
      <c r="W705" s="65" t="n"/>
      <c r="X705" s="65" t="n"/>
      <c r="Y705" s="65" t="n"/>
      <c r="Z705" s="65" t="n"/>
    </row>
    <row r="706" ht="12.75" customHeight="1" s="85">
      <c r="A706" s="65" t="n"/>
      <c r="B706" s="72" t="n"/>
      <c r="C706" s="65" t="n"/>
      <c r="D706" s="65" t="n"/>
      <c r="E706" s="65" t="n"/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65" t="n"/>
      <c r="T706" s="65" t="n"/>
      <c r="U706" s="65" t="n"/>
      <c r="V706" s="65" t="n"/>
      <c r="W706" s="65" t="n"/>
      <c r="X706" s="65" t="n"/>
      <c r="Y706" s="65" t="n"/>
      <c r="Z706" s="65" t="n"/>
    </row>
    <row r="707" ht="12.75" customHeight="1" s="85">
      <c r="A707" s="65" t="n"/>
      <c r="B707" s="72" t="n"/>
      <c r="C707" s="65" t="n"/>
      <c r="D707" s="65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65" t="n"/>
      <c r="T707" s="65" t="n"/>
      <c r="U707" s="65" t="n"/>
      <c r="V707" s="65" t="n"/>
      <c r="W707" s="65" t="n"/>
      <c r="X707" s="65" t="n"/>
      <c r="Y707" s="65" t="n"/>
      <c r="Z707" s="65" t="n"/>
    </row>
    <row r="708" ht="15.75" customHeight="1" s="85">
      <c r="B708" s="42" t="n"/>
    </row>
    <row r="709" ht="15.75" customHeight="1" s="85">
      <c r="B709" s="42" t="n"/>
    </row>
    <row r="710" ht="15.75" customHeight="1" s="85">
      <c r="B710" s="42" t="n"/>
    </row>
    <row r="711" ht="15.75" customHeight="1" s="85">
      <c r="B711" s="42" t="n"/>
    </row>
    <row r="712" ht="15.75" customHeight="1" s="85">
      <c r="B712" s="42" t="n"/>
    </row>
    <row r="713" ht="15.75" customHeight="1" s="85">
      <c r="B713" s="42" t="n"/>
    </row>
    <row r="714" ht="15.75" customHeight="1" s="85">
      <c r="B714" s="42" t="n"/>
    </row>
    <row r="715" ht="15.75" customHeight="1" s="85">
      <c r="B715" s="42" t="n"/>
    </row>
    <row r="716" ht="15.75" customHeight="1" s="85">
      <c r="B716" s="42" t="n"/>
    </row>
    <row r="717" ht="15.75" customHeight="1" s="85">
      <c r="B717" s="42" t="n"/>
    </row>
    <row r="718" ht="15.75" customHeight="1" s="85">
      <c r="B718" s="42" t="n"/>
    </row>
    <row r="719" ht="15.75" customHeight="1" s="85">
      <c r="B719" s="42" t="n"/>
    </row>
    <row r="720" ht="15.75" customHeight="1" s="85">
      <c r="B720" s="42" t="n"/>
    </row>
    <row r="721" ht="15.75" customHeight="1" s="85">
      <c r="B721" s="42" t="n"/>
    </row>
    <row r="722" ht="15.75" customHeight="1" s="85">
      <c r="B722" s="42" t="n"/>
    </row>
    <row r="723" ht="15.75" customHeight="1" s="85">
      <c r="B723" s="42" t="n"/>
    </row>
    <row r="724" ht="15.75" customHeight="1" s="85">
      <c r="B724" s="42" t="n"/>
    </row>
    <row r="725" ht="15.75" customHeight="1" s="85">
      <c r="B725" s="42" t="n"/>
    </row>
    <row r="726" ht="15.75" customHeight="1" s="85">
      <c r="B726" s="42" t="n"/>
    </row>
    <row r="727" ht="15.75" customHeight="1" s="85">
      <c r="B727" s="42" t="n"/>
    </row>
    <row r="728" ht="15.75" customHeight="1" s="85">
      <c r="B728" s="42" t="n"/>
    </row>
    <row r="729" ht="15.75" customHeight="1" s="85">
      <c r="B729" s="42" t="n"/>
    </row>
    <row r="730" ht="15.75" customHeight="1" s="85">
      <c r="B730" s="42" t="n"/>
    </row>
    <row r="731" ht="15.75" customHeight="1" s="85">
      <c r="B731" s="42" t="n"/>
    </row>
    <row r="732" ht="15.75" customHeight="1" s="85">
      <c r="B732" s="42" t="n"/>
    </row>
    <row r="733" ht="15.75" customHeight="1" s="85">
      <c r="B733" s="42" t="n"/>
    </row>
    <row r="734" ht="15.75" customHeight="1" s="85">
      <c r="B734" s="42" t="n"/>
    </row>
    <row r="735" ht="15.75" customHeight="1" s="85">
      <c r="B735" s="42" t="n"/>
    </row>
    <row r="736" ht="15.75" customHeight="1" s="85">
      <c r="B736" s="42" t="n"/>
    </row>
    <row r="737" ht="15.75" customHeight="1" s="85">
      <c r="B737" s="42" t="n"/>
    </row>
    <row r="738" ht="15.75" customHeight="1" s="85">
      <c r="B738" s="42" t="n"/>
    </row>
    <row r="739" ht="15.75" customHeight="1" s="85">
      <c r="B739" s="42" t="n"/>
    </row>
    <row r="740" ht="15.75" customHeight="1" s="85">
      <c r="B740" s="42" t="n"/>
    </row>
    <row r="741" ht="15.75" customHeight="1" s="85">
      <c r="B741" s="42" t="n"/>
    </row>
    <row r="742" ht="15.75" customHeight="1" s="85">
      <c r="B742" s="42" t="n"/>
    </row>
    <row r="743" ht="15.75" customHeight="1" s="85">
      <c r="B743" s="42" t="n"/>
    </row>
    <row r="744" ht="15.75" customHeight="1" s="85">
      <c r="B744" s="42" t="n"/>
    </row>
    <row r="745" ht="15.75" customHeight="1" s="85">
      <c r="B745" s="42" t="n"/>
    </row>
    <row r="746" ht="15.75" customHeight="1" s="85">
      <c r="B746" s="42" t="n"/>
    </row>
    <row r="747" ht="15.75" customHeight="1" s="85">
      <c r="B747" s="42" t="n"/>
    </row>
    <row r="748" ht="15.75" customHeight="1" s="85">
      <c r="B748" s="42" t="n"/>
    </row>
    <row r="749" ht="15.75" customHeight="1" s="85">
      <c r="B749" s="42" t="n"/>
    </row>
    <row r="750" ht="15.75" customHeight="1" s="85">
      <c r="B750" s="42" t="n"/>
    </row>
    <row r="751" ht="15.75" customHeight="1" s="85">
      <c r="B751" s="42" t="n"/>
    </row>
    <row r="752" ht="15.75" customHeight="1" s="85">
      <c r="B752" s="42" t="n"/>
    </row>
    <row r="753" ht="15.75" customHeight="1" s="85">
      <c r="B753" s="42" t="n"/>
    </row>
    <row r="754" ht="15.75" customHeight="1" s="85">
      <c r="B754" s="42" t="n"/>
    </row>
    <row r="755" ht="15.75" customHeight="1" s="85">
      <c r="B755" s="42" t="n"/>
    </row>
    <row r="756" ht="15.75" customHeight="1" s="85">
      <c r="B756" s="42" t="n"/>
    </row>
    <row r="757" ht="15.75" customHeight="1" s="85">
      <c r="B757" s="42" t="n"/>
    </row>
    <row r="758" ht="15.75" customHeight="1" s="85">
      <c r="B758" s="42" t="n"/>
    </row>
    <row r="759" ht="15.75" customHeight="1" s="85">
      <c r="B759" s="42" t="n"/>
    </row>
    <row r="760" ht="15.75" customHeight="1" s="85">
      <c r="B760" s="42" t="n"/>
    </row>
    <row r="761" ht="15.75" customHeight="1" s="85">
      <c r="B761" s="42" t="n"/>
    </row>
    <row r="762" ht="15.75" customHeight="1" s="85">
      <c r="B762" s="42" t="n"/>
    </row>
    <row r="763" ht="15.75" customHeight="1" s="85">
      <c r="B763" s="42" t="n"/>
    </row>
    <row r="764" ht="15.75" customHeight="1" s="85">
      <c r="B764" s="42" t="n"/>
    </row>
    <row r="765" ht="15.75" customHeight="1" s="85">
      <c r="B765" s="42" t="n"/>
    </row>
    <row r="766" ht="15.75" customHeight="1" s="85">
      <c r="B766" s="42" t="n"/>
    </row>
    <row r="767" ht="15.75" customHeight="1" s="85">
      <c r="B767" s="42" t="n"/>
    </row>
    <row r="768" ht="15.75" customHeight="1" s="85">
      <c r="B768" s="42" t="n"/>
    </row>
    <row r="769" ht="15.75" customHeight="1" s="85">
      <c r="B769" s="42" t="n"/>
    </row>
    <row r="770" ht="15.75" customHeight="1" s="85">
      <c r="B770" s="42" t="n"/>
    </row>
    <row r="771" ht="15.75" customHeight="1" s="85">
      <c r="B771" s="42" t="n"/>
    </row>
    <row r="772" ht="15.75" customHeight="1" s="85">
      <c r="B772" s="42" t="n"/>
    </row>
    <row r="773" ht="15.75" customHeight="1" s="85">
      <c r="B773" s="42" t="n"/>
    </row>
    <row r="774" ht="15.75" customHeight="1" s="85">
      <c r="B774" s="42" t="n"/>
    </row>
    <row r="775" ht="15.75" customHeight="1" s="85">
      <c r="B775" s="42" t="n"/>
    </row>
    <row r="776" ht="15.75" customHeight="1" s="85">
      <c r="B776" s="42" t="n"/>
    </row>
    <row r="777" ht="15.75" customHeight="1" s="85">
      <c r="B777" s="42" t="n"/>
    </row>
    <row r="778" ht="15.75" customHeight="1" s="85">
      <c r="B778" s="42" t="n"/>
    </row>
    <row r="779" ht="15.75" customHeight="1" s="85">
      <c r="B779" s="42" t="n"/>
    </row>
    <row r="780" ht="15.75" customHeight="1" s="85">
      <c r="B780" s="42" t="n"/>
    </row>
    <row r="781" ht="15.75" customHeight="1" s="85">
      <c r="B781" s="42" t="n"/>
    </row>
    <row r="782" ht="15.75" customHeight="1" s="85">
      <c r="B782" s="42" t="n"/>
    </row>
    <row r="783" ht="15.75" customHeight="1" s="85">
      <c r="B783" s="42" t="n"/>
    </row>
    <row r="784" ht="15.75" customHeight="1" s="85">
      <c r="B784" s="42" t="n"/>
    </row>
    <row r="785" ht="15.75" customHeight="1" s="85">
      <c r="B785" s="42" t="n"/>
    </row>
    <row r="786" ht="15.75" customHeight="1" s="85">
      <c r="B786" s="42" t="n"/>
    </row>
    <row r="787" ht="15.75" customHeight="1" s="85">
      <c r="B787" s="42" t="n"/>
    </row>
    <row r="788" ht="15.75" customHeight="1" s="85">
      <c r="B788" s="42" t="n"/>
    </row>
    <row r="789" ht="15.75" customHeight="1" s="85">
      <c r="B789" s="42" t="n"/>
    </row>
    <row r="790" ht="15.75" customHeight="1" s="85">
      <c r="B790" s="42" t="n"/>
    </row>
    <row r="791" ht="15.75" customHeight="1" s="85">
      <c r="B791" s="42" t="n"/>
    </row>
    <row r="792" ht="15.75" customHeight="1" s="85">
      <c r="B792" s="42" t="n"/>
    </row>
    <row r="793" ht="15.75" customHeight="1" s="85">
      <c r="B793" s="42" t="n"/>
    </row>
    <row r="794" ht="15.75" customHeight="1" s="85">
      <c r="B794" s="42" t="n"/>
    </row>
    <row r="795" ht="15.75" customHeight="1" s="85">
      <c r="B795" s="42" t="n"/>
    </row>
    <row r="796" ht="15.75" customHeight="1" s="85">
      <c r="B796" s="42" t="n"/>
    </row>
    <row r="797" ht="15.75" customHeight="1" s="85">
      <c r="B797" s="42" t="n"/>
    </row>
    <row r="798" ht="15.75" customHeight="1" s="85">
      <c r="B798" s="42" t="n"/>
    </row>
    <row r="799" ht="15.75" customHeight="1" s="85">
      <c r="B799" s="42" t="n"/>
    </row>
    <row r="800" ht="15.75" customHeight="1" s="85">
      <c r="B800" s="42" t="n"/>
    </row>
    <row r="801" ht="15.75" customHeight="1" s="85">
      <c r="B801" s="42" t="n"/>
    </row>
    <row r="802" ht="15.75" customHeight="1" s="85">
      <c r="B802" s="42" t="n"/>
    </row>
    <row r="803" ht="15.75" customHeight="1" s="85">
      <c r="B803" s="42" t="n"/>
    </row>
    <row r="804" ht="15.75" customHeight="1" s="85">
      <c r="B804" s="42" t="n"/>
    </row>
    <row r="805" ht="15.75" customHeight="1" s="85">
      <c r="B805" s="42" t="n"/>
    </row>
    <row r="806" ht="15.75" customHeight="1" s="85">
      <c r="B806" s="42" t="n"/>
    </row>
    <row r="807" ht="15.75" customHeight="1" s="85">
      <c r="B807" s="42" t="n"/>
    </row>
    <row r="808" ht="15.75" customHeight="1" s="85">
      <c r="B808" s="42" t="n"/>
    </row>
    <row r="809" ht="15.75" customHeight="1" s="85">
      <c r="B809" s="42" t="n"/>
    </row>
    <row r="810" ht="15.75" customHeight="1" s="85">
      <c r="B810" s="42" t="n"/>
    </row>
    <row r="811" ht="15.75" customHeight="1" s="85">
      <c r="B811" s="42" t="n"/>
    </row>
    <row r="812" ht="15.75" customHeight="1" s="85">
      <c r="B812" s="42" t="n"/>
    </row>
    <row r="813" ht="15.75" customHeight="1" s="85">
      <c r="B813" s="42" t="n"/>
    </row>
    <row r="814" ht="15.75" customHeight="1" s="85">
      <c r="B814" s="42" t="n"/>
    </row>
    <row r="815" ht="15.75" customHeight="1" s="85">
      <c r="B815" s="42" t="n"/>
    </row>
    <row r="816" ht="15.75" customHeight="1" s="85">
      <c r="B816" s="42" t="n"/>
    </row>
    <row r="817" ht="15.75" customHeight="1" s="85">
      <c r="B817" s="42" t="n"/>
    </row>
    <row r="818" ht="15.75" customHeight="1" s="85">
      <c r="B818" s="42" t="n"/>
    </row>
    <row r="819" ht="15.75" customHeight="1" s="85">
      <c r="B819" s="42" t="n"/>
    </row>
    <row r="820" ht="15.75" customHeight="1" s="85">
      <c r="B820" s="42" t="n"/>
    </row>
    <row r="821" ht="15.75" customHeight="1" s="85">
      <c r="B821" s="42" t="n"/>
    </row>
    <row r="822" ht="15.75" customHeight="1" s="85">
      <c r="B822" s="42" t="n"/>
    </row>
    <row r="823" ht="15.75" customHeight="1" s="85">
      <c r="B823" s="42" t="n"/>
    </row>
    <row r="824" ht="15.75" customHeight="1" s="85">
      <c r="B824" s="42" t="n"/>
    </row>
    <row r="825" ht="15.75" customHeight="1" s="85">
      <c r="B825" s="42" t="n"/>
    </row>
    <row r="826" ht="15.75" customHeight="1" s="85">
      <c r="B826" s="42" t="n"/>
    </row>
    <row r="827" ht="15.75" customHeight="1" s="85">
      <c r="B827" s="42" t="n"/>
    </row>
    <row r="828" ht="15.75" customHeight="1" s="85">
      <c r="B828" s="42" t="n"/>
    </row>
    <row r="829" ht="15.75" customHeight="1" s="85">
      <c r="B829" s="42" t="n"/>
    </row>
    <row r="830" ht="15.75" customHeight="1" s="85">
      <c r="B830" s="42" t="n"/>
    </row>
    <row r="831" ht="15.75" customHeight="1" s="85">
      <c r="B831" s="42" t="n"/>
    </row>
    <row r="832" ht="15.75" customHeight="1" s="85">
      <c r="B832" s="42" t="n"/>
    </row>
    <row r="833" ht="15.75" customHeight="1" s="85">
      <c r="B833" s="42" t="n"/>
    </row>
    <row r="834" ht="15.75" customHeight="1" s="85">
      <c r="B834" s="42" t="n"/>
    </row>
    <row r="835" ht="15.75" customHeight="1" s="85">
      <c r="B835" s="42" t="n"/>
    </row>
    <row r="836" ht="15.75" customHeight="1" s="85">
      <c r="B836" s="42" t="n"/>
    </row>
    <row r="837" ht="15.75" customHeight="1" s="85">
      <c r="B837" s="42" t="n"/>
    </row>
    <row r="838" ht="15.75" customHeight="1" s="85">
      <c r="B838" s="42" t="n"/>
    </row>
    <row r="839" ht="15.75" customHeight="1" s="85">
      <c r="B839" s="42" t="n"/>
    </row>
    <row r="840" ht="15.75" customHeight="1" s="85">
      <c r="B840" s="42" t="n"/>
    </row>
    <row r="841" ht="15.75" customHeight="1" s="85">
      <c r="B841" s="42" t="n"/>
    </row>
    <row r="842" ht="15.75" customHeight="1" s="85">
      <c r="B842" s="42" t="n"/>
    </row>
    <row r="843" ht="15.75" customHeight="1" s="85">
      <c r="B843" s="42" t="n"/>
    </row>
    <row r="844" ht="15.75" customHeight="1" s="85">
      <c r="B844" s="42" t="n"/>
    </row>
    <row r="845" ht="15.75" customHeight="1" s="85">
      <c r="B845" s="42" t="n"/>
    </row>
    <row r="846" ht="15.75" customHeight="1" s="85">
      <c r="B846" s="42" t="n"/>
    </row>
    <row r="847" ht="15.75" customHeight="1" s="85">
      <c r="B847" s="42" t="n"/>
    </row>
    <row r="848" ht="15.75" customHeight="1" s="85">
      <c r="B848" s="42" t="n"/>
    </row>
    <row r="849" ht="15.75" customHeight="1" s="85">
      <c r="B849" s="42" t="n"/>
    </row>
    <row r="850" ht="15.75" customHeight="1" s="85">
      <c r="B850" s="42" t="n"/>
    </row>
    <row r="851" ht="15.75" customHeight="1" s="85">
      <c r="B851" s="42" t="n"/>
    </row>
    <row r="852" ht="15.75" customHeight="1" s="85">
      <c r="B852" s="42" t="n"/>
    </row>
    <row r="853" ht="15.75" customHeight="1" s="85">
      <c r="B853" s="42" t="n"/>
    </row>
    <row r="854" ht="15.75" customHeight="1" s="85">
      <c r="B854" s="42" t="n"/>
    </row>
    <row r="855" ht="15.75" customHeight="1" s="85">
      <c r="B855" s="42" t="n"/>
    </row>
    <row r="856" ht="15.75" customHeight="1" s="85">
      <c r="B856" s="42" t="n"/>
    </row>
    <row r="857" ht="15.75" customHeight="1" s="85">
      <c r="B857" s="42" t="n"/>
    </row>
    <row r="858" ht="15.75" customHeight="1" s="85">
      <c r="B858" s="42" t="n"/>
    </row>
    <row r="859" ht="15.75" customHeight="1" s="85">
      <c r="B859" s="42" t="n"/>
    </row>
    <row r="860" ht="15.75" customHeight="1" s="85">
      <c r="B860" s="42" t="n"/>
    </row>
    <row r="861" ht="15.75" customHeight="1" s="85">
      <c r="B861" s="42" t="n"/>
    </row>
    <row r="862" ht="15.75" customHeight="1" s="85">
      <c r="B862" s="42" t="n"/>
    </row>
    <row r="863" ht="15.75" customHeight="1" s="85">
      <c r="B863" s="42" t="n"/>
    </row>
    <row r="864" ht="15.75" customHeight="1" s="85">
      <c r="B864" s="42" t="n"/>
    </row>
    <row r="865" ht="15.75" customHeight="1" s="85">
      <c r="B865" s="42" t="n"/>
    </row>
    <row r="866" ht="15.75" customHeight="1" s="85">
      <c r="B866" s="42" t="n"/>
    </row>
    <row r="867" ht="15.75" customHeight="1" s="85">
      <c r="B867" s="42" t="n"/>
    </row>
    <row r="868" ht="15.75" customHeight="1" s="85">
      <c r="B868" s="42" t="n"/>
    </row>
    <row r="869" ht="15.75" customHeight="1" s="85">
      <c r="B869" s="42" t="n"/>
    </row>
    <row r="870" ht="15.75" customHeight="1" s="85">
      <c r="B870" s="42" t="n"/>
    </row>
    <row r="871" ht="15.75" customHeight="1" s="85">
      <c r="B871" s="42" t="n"/>
    </row>
    <row r="872" ht="15.75" customHeight="1" s="85">
      <c r="B872" s="42" t="n"/>
    </row>
    <row r="873" ht="15.75" customHeight="1" s="85">
      <c r="B873" s="42" t="n"/>
    </row>
    <row r="874" ht="15.75" customHeight="1" s="85">
      <c r="B874" s="42" t="n"/>
    </row>
    <row r="875" ht="15.75" customHeight="1" s="85">
      <c r="B875" s="42" t="n"/>
    </row>
    <row r="876" ht="15.75" customHeight="1" s="85">
      <c r="B876" s="42" t="n"/>
    </row>
    <row r="877" ht="15.75" customHeight="1" s="85">
      <c r="B877" s="42" t="n"/>
    </row>
    <row r="878" ht="15.75" customHeight="1" s="85">
      <c r="B878" s="42" t="n"/>
    </row>
    <row r="879" ht="15.75" customHeight="1" s="85">
      <c r="B879" s="42" t="n"/>
    </row>
    <row r="880" ht="15.75" customHeight="1" s="85">
      <c r="B880" s="42" t="n"/>
    </row>
    <row r="881" ht="15.75" customHeight="1" s="85">
      <c r="B881" s="42" t="n"/>
    </row>
    <row r="882" ht="15.75" customHeight="1" s="85">
      <c r="B882" s="42" t="n"/>
    </row>
    <row r="883" ht="15.75" customHeight="1" s="85">
      <c r="B883" s="42" t="n"/>
    </row>
    <row r="884" ht="15.75" customHeight="1" s="85">
      <c r="B884" s="42" t="n"/>
    </row>
    <row r="885" ht="15.75" customHeight="1" s="85">
      <c r="B885" s="42" t="n"/>
    </row>
    <row r="886" ht="15.75" customHeight="1" s="85">
      <c r="B886" s="42" t="n"/>
    </row>
    <row r="887" ht="15.75" customHeight="1" s="85">
      <c r="B887" s="42" t="n"/>
    </row>
    <row r="888" ht="15.75" customHeight="1" s="85">
      <c r="B888" s="42" t="n"/>
    </row>
    <row r="889" ht="15.75" customHeight="1" s="85">
      <c r="B889" s="42" t="n"/>
    </row>
    <row r="890" ht="15.75" customHeight="1" s="85">
      <c r="B890" s="42" t="n"/>
    </row>
    <row r="891" ht="15.75" customHeight="1" s="85">
      <c r="B891" s="42" t="n"/>
    </row>
    <row r="892" ht="15.75" customHeight="1" s="85">
      <c r="B892" s="42" t="n"/>
    </row>
    <row r="893" ht="15.75" customHeight="1" s="85">
      <c r="B893" s="42" t="n"/>
    </row>
    <row r="894" ht="15.75" customHeight="1" s="85">
      <c r="B894" s="42" t="n"/>
    </row>
    <row r="895" ht="15.75" customHeight="1" s="85">
      <c r="B895" s="42" t="n"/>
    </row>
    <row r="896" ht="15.75" customHeight="1" s="85">
      <c r="B896" s="42" t="n"/>
    </row>
    <row r="897" ht="15.75" customHeight="1" s="85">
      <c r="B897" s="42" t="n"/>
    </row>
    <row r="898" ht="15.75" customHeight="1" s="85">
      <c r="B898" s="42" t="n"/>
    </row>
    <row r="899" ht="15.75" customHeight="1" s="85">
      <c r="B899" s="42" t="n"/>
    </row>
    <row r="900" ht="15.75" customHeight="1" s="85">
      <c r="B900" s="42" t="n"/>
    </row>
    <row r="901" ht="15.75" customHeight="1" s="85">
      <c r="B901" s="42" t="n"/>
    </row>
    <row r="902" ht="15.75" customHeight="1" s="85">
      <c r="B902" s="42" t="n"/>
    </row>
    <row r="903" ht="15.75" customHeight="1" s="85">
      <c r="B903" s="42" t="n"/>
    </row>
    <row r="904" ht="15.75" customHeight="1" s="85">
      <c r="B904" s="42" t="n"/>
    </row>
    <row r="905" ht="15.75" customHeight="1" s="85">
      <c r="B905" s="42" t="n"/>
    </row>
    <row r="906" ht="15.75" customHeight="1" s="85">
      <c r="B906" s="42" t="n"/>
    </row>
    <row r="907" ht="15.75" customHeight="1" s="85">
      <c r="B907" s="42" t="n"/>
    </row>
    <row r="908" ht="15.75" customHeight="1" s="85">
      <c r="B908" s="42" t="n"/>
    </row>
    <row r="909" ht="15.75" customHeight="1" s="85">
      <c r="B909" s="42" t="n"/>
    </row>
    <row r="910" ht="15.75" customHeight="1" s="85">
      <c r="B910" s="42" t="n"/>
    </row>
    <row r="911" ht="15.75" customHeight="1" s="85">
      <c r="B911" s="42" t="n"/>
    </row>
    <row r="912" ht="15.75" customHeight="1" s="85">
      <c r="B912" s="42" t="n"/>
    </row>
    <row r="913" ht="15.75" customHeight="1" s="85">
      <c r="B913" s="42" t="n"/>
    </row>
    <row r="914" ht="15.75" customHeight="1" s="85">
      <c r="B914" s="42" t="n"/>
    </row>
    <row r="915" ht="15.75" customHeight="1" s="85">
      <c r="B915" s="42" t="n"/>
    </row>
    <row r="916" ht="15.75" customHeight="1" s="85">
      <c r="B916" s="42" t="n"/>
    </row>
    <row r="917" ht="15.75" customHeight="1" s="85">
      <c r="B917" s="42" t="n"/>
    </row>
    <row r="918" ht="15.75" customHeight="1" s="85">
      <c r="B918" s="42" t="n"/>
    </row>
    <row r="919" ht="15.75" customHeight="1" s="85">
      <c r="B919" s="42" t="n"/>
    </row>
    <row r="920" ht="15.75" customHeight="1" s="85">
      <c r="B920" s="42" t="n"/>
    </row>
    <row r="921" ht="15.75" customHeight="1" s="85">
      <c r="B921" s="42" t="n"/>
    </row>
    <row r="922" ht="15.75" customHeight="1" s="85">
      <c r="B922" s="42" t="n"/>
    </row>
    <row r="923" ht="15.75" customHeight="1" s="85">
      <c r="B923" s="42" t="n"/>
    </row>
    <row r="924" ht="15.75" customHeight="1" s="85">
      <c r="B924" s="42" t="n"/>
    </row>
    <row r="925" ht="15.75" customHeight="1" s="85">
      <c r="B925" s="42" t="n"/>
    </row>
    <row r="926" ht="15.75" customHeight="1" s="85">
      <c r="B926" s="42" t="n"/>
    </row>
    <row r="927" ht="15.75" customHeight="1" s="85">
      <c r="B927" s="42" t="n"/>
    </row>
    <row r="928" ht="15.75" customHeight="1" s="85">
      <c r="B928" s="42" t="n"/>
    </row>
    <row r="929" ht="15.75" customHeight="1" s="85">
      <c r="B929" s="42" t="n"/>
    </row>
    <row r="930" ht="15.75" customHeight="1" s="85">
      <c r="B930" s="42" t="n"/>
    </row>
    <row r="931" ht="15.75" customHeight="1" s="85">
      <c r="B931" s="42" t="n"/>
    </row>
    <row r="932" ht="15.75" customHeight="1" s="85">
      <c r="B932" s="42" t="n"/>
    </row>
    <row r="933" ht="15.75" customHeight="1" s="85">
      <c r="B933" s="42" t="n"/>
    </row>
    <row r="934" ht="15.75" customHeight="1" s="85">
      <c r="B934" s="42" t="n"/>
    </row>
    <row r="935" ht="15.75" customHeight="1" s="85">
      <c r="B935" s="42" t="n"/>
    </row>
    <row r="936" ht="15.75" customHeight="1" s="85">
      <c r="B936" s="42" t="n"/>
    </row>
    <row r="937" ht="15.75" customHeight="1" s="85">
      <c r="B937" s="42" t="n"/>
    </row>
    <row r="938" ht="15.75" customHeight="1" s="85">
      <c r="B938" s="42" t="n"/>
    </row>
    <row r="939" ht="15.75" customHeight="1" s="85">
      <c r="B939" s="42" t="n"/>
    </row>
    <row r="940" ht="15.75" customHeight="1" s="85">
      <c r="B940" s="42" t="n"/>
    </row>
    <row r="941" ht="15.75" customHeight="1" s="85">
      <c r="B941" s="42" t="n"/>
    </row>
    <row r="942" ht="15.75" customHeight="1" s="85">
      <c r="B942" s="42" t="n"/>
    </row>
    <row r="943" ht="15.75" customHeight="1" s="85">
      <c r="B943" s="42" t="n"/>
    </row>
    <row r="944" ht="15.75" customHeight="1" s="85">
      <c r="B944" s="42" t="n"/>
    </row>
    <row r="945" ht="15.75" customHeight="1" s="85">
      <c r="B945" s="42" t="n"/>
    </row>
    <row r="946" ht="15.75" customHeight="1" s="85">
      <c r="B946" s="42" t="n"/>
    </row>
    <row r="947" ht="15.75" customHeight="1" s="85">
      <c r="B947" s="42" t="n"/>
    </row>
    <row r="948" ht="15.75" customHeight="1" s="85">
      <c r="B948" s="42" t="n"/>
    </row>
    <row r="949" ht="15.75" customHeight="1" s="85">
      <c r="B949" s="42" t="n"/>
    </row>
    <row r="950" ht="15.75" customHeight="1" s="85">
      <c r="B950" s="42" t="n"/>
    </row>
    <row r="951" ht="15.75" customHeight="1" s="85">
      <c r="B951" s="42" t="n"/>
    </row>
    <row r="952" ht="15.75" customHeight="1" s="85">
      <c r="B952" s="42" t="n"/>
    </row>
    <row r="953" ht="15.75" customHeight="1" s="85">
      <c r="B953" s="42" t="n"/>
    </row>
    <row r="954" ht="15.75" customHeight="1" s="85">
      <c r="B954" s="42" t="n"/>
    </row>
    <row r="955" ht="15.75" customHeight="1" s="85">
      <c r="B955" s="42" t="n"/>
    </row>
    <row r="956" ht="15.75" customHeight="1" s="85">
      <c r="B956" s="42" t="n"/>
    </row>
    <row r="957" ht="15.75" customHeight="1" s="85">
      <c r="B957" s="42" t="n"/>
    </row>
    <row r="958" ht="15.75" customHeight="1" s="85">
      <c r="B958" s="42" t="n"/>
    </row>
    <row r="959" ht="15.75" customHeight="1" s="85">
      <c r="B959" s="42" t="n"/>
    </row>
    <row r="960" ht="15.75" customHeight="1" s="85">
      <c r="B960" s="42" t="n"/>
    </row>
    <row r="961" ht="15.75" customHeight="1" s="85">
      <c r="B961" s="42" t="n"/>
    </row>
    <row r="962" ht="15.75" customHeight="1" s="85">
      <c r="B962" s="42" t="n"/>
    </row>
    <row r="963" ht="15.75" customHeight="1" s="85">
      <c r="B963" s="42" t="n"/>
    </row>
    <row r="964" ht="15.75" customHeight="1" s="85">
      <c r="B964" s="42" t="n"/>
    </row>
    <row r="965" ht="15.75" customHeight="1" s="85">
      <c r="B965" s="42" t="n"/>
    </row>
    <row r="966" ht="15.75" customHeight="1" s="85">
      <c r="B966" s="42" t="n"/>
    </row>
    <row r="967" ht="15.75" customHeight="1" s="85">
      <c r="B967" s="42" t="n"/>
    </row>
    <row r="968" ht="15.75" customHeight="1" s="85">
      <c r="B968" s="42" t="n"/>
    </row>
    <row r="969" ht="15.75" customHeight="1" s="85">
      <c r="B969" s="42" t="n"/>
    </row>
    <row r="970" ht="15.75" customHeight="1" s="85">
      <c r="B970" s="42" t="n"/>
    </row>
    <row r="971" ht="15.75" customHeight="1" s="85">
      <c r="B971" s="42" t="n"/>
    </row>
    <row r="972" ht="15.75" customHeight="1" s="85">
      <c r="B972" s="42" t="n"/>
    </row>
    <row r="973" ht="15.75" customHeight="1" s="85">
      <c r="B973" s="42" t="n"/>
    </row>
    <row r="974" ht="15.75" customHeight="1" s="85">
      <c r="B974" s="42" t="n"/>
    </row>
    <row r="975" ht="15.75" customHeight="1" s="85">
      <c r="B975" s="42" t="n"/>
    </row>
    <row r="976" ht="15.75" customHeight="1" s="85">
      <c r="B976" s="42" t="n"/>
    </row>
    <row r="977" ht="15.75" customHeight="1" s="85">
      <c r="B977" s="42" t="n"/>
    </row>
    <row r="978" ht="15.75" customHeight="1" s="85">
      <c r="B978" s="42" t="n"/>
    </row>
    <row r="979" ht="15.75" customHeight="1" s="85">
      <c r="B979" s="42" t="n"/>
    </row>
    <row r="980" ht="15.75" customHeight="1" s="85">
      <c r="B980" s="42" t="n"/>
    </row>
    <row r="981" ht="15.75" customHeight="1" s="85">
      <c r="B981" s="42" t="n"/>
    </row>
    <row r="982" ht="15.75" customHeight="1" s="85">
      <c r="B982" s="42" t="n"/>
    </row>
    <row r="983" ht="15.75" customHeight="1" s="85">
      <c r="B983" s="42" t="n"/>
    </row>
    <row r="984" ht="15.75" customHeight="1" s="85">
      <c r="B984" s="42" t="n"/>
    </row>
    <row r="985" ht="15.75" customHeight="1" s="85">
      <c r="B985" s="42" t="n"/>
    </row>
    <row r="986" ht="15.75" customHeight="1" s="85">
      <c r="B986" s="42" t="n"/>
    </row>
    <row r="987" ht="15.75" customHeight="1" s="85">
      <c r="B987" s="42" t="n"/>
    </row>
    <row r="988" ht="15.75" customHeight="1" s="85">
      <c r="B988" s="42" t="n"/>
    </row>
    <row r="989" ht="15.75" customHeight="1" s="85">
      <c r="B989" s="42" t="n"/>
    </row>
    <row r="990" ht="15.75" customHeight="1" s="85">
      <c r="B990" s="42" t="n"/>
    </row>
    <row r="991" ht="15.75" customHeight="1" s="85">
      <c r="B991" s="42" t="n"/>
    </row>
    <row r="992" ht="15.75" customHeight="1" s="85">
      <c r="B992" s="42" t="n"/>
    </row>
    <row r="993" ht="15.75" customHeight="1" s="85">
      <c r="B993" s="42" t="n"/>
    </row>
    <row r="994" ht="15.75" customHeight="1" s="85">
      <c r="B994" s="42" t="n"/>
    </row>
    <row r="995" ht="15.75" customHeight="1" s="85">
      <c r="B995" s="42" t="n"/>
    </row>
    <row r="996" ht="15.75" customHeight="1" s="85">
      <c r="B996" s="42" t="n"/>
    </row>
    <row r="997" ht="15.75" customHeight="1" s="85">
      <c r="B997" s="42" t="n"/>
    </row>
    <row r="998" ht="15.75" customHeight="1" s="85">
      <c r="B998" s="42" t="n"/>
    </row>
    <row r="999" ht="15.75" customHeight="1" s="85">
      <c r="B999" s="42" t="n"/>
    </row>
    <row r="1000" ht="15.75" customHeight="1" s="85">
      <c r="B1000" s="42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B221"/>
  <sheetViews>
    <sheetView showGridLines="0" workbookViewId="0">
      <selection activeCell="A1" sqref="A1"/>
    </sheetView>
  </sheetViews>
  <sheetFormatPr baseColWidth="8" defaultColWidth="12.63" defaultRowHeight="15" customHeight="1"/>
  <cols>
    <col width="2.75" customWidth="1" style="85" min="1" max="1"/>
    <col width="10.13" customWidth="1" style="85" min="2" max="2"/>
    <col width="10" customWidth="1" style="85" min="3" max="3"/>
    <col width="27" customWidth="1" style="85" min="4" max="4"/>
    <col width="26.88" customWidth="1" style="85" min="5" max="5"/>
    <col width="26.75" customWidth="1" style="85" min="6" max="6"/>
    <col width="18.38" customWidth="1" style="85" min="7" max="7"/>
    <col width="16.88" customWidth="1" style="85" min="8" max="8"/>
  </cols>
  <sheetData>
    <row r="1" ht="12.75" customHeight="1" s="8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2.75" customHeight="1" s="85">
      <c r="A2" s="73" t="n"/>
      <c r="B2" s="2" t="inlineStr">
        <is>
          <t>Capital gain/loss calculation (if applicable)</t>
        </is>
      </c>
      <c r="C2" s="86" t="n"/>
      <c r="D2" s="86" t="n"/>
      <c r="E2" s="86" t="n"/>
      <c r="F2" s="86" t="n"/>
      <c r="G2" s="86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</row>
    <row r="3" ht="12.75" customHeight="1" s="85">
      <c r="A3" s="73" t="n"/>
      <c r="B3" s="7" t="inlineStr">
        <is>
          <t>date</t>
        </is>
      </c>
      <c r="C3" s="7" t="inlineStr">
        <is>
          <t>event</t>
        </is>
      </c>
      <c r="D3" s="8" t="inlineStr">
        <is>
          <t>quantity_sold</t>
        </is>
      </c>
      <c r="E3" s="8" t="inlineStr">
        <is>
          <t>avg_price_to_date_brl</t>
        </is>
      </c>
      <c r="F3" s="8" t="inlineStr">
        <is>
          <t>share_value_brl</t>
        </is>
      </c>
      <c r="G3" s="8" t="inlineStr">
        <is>
          <t>gain_loss_brl</t>
        </is>
      </c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</row>
    <row r="4" ht="12.75" customHeight="1" s="85">
      <c r="A4" s="1" t="n"/>
      <c r="B4" s="74">
        <f>input!B16</f>
        <v/>
      </c>
      <c r="C4" s="55">
        <f>IF(B4="","", "Cálculo")</f>
        <v/>
      </c>
      <c r="D4" s="75">
        <f>input!D16</f>
        <v/>
      </c>
      <c r="E4" s="76">
        <f t="array" ref="E4">IFERROR(INDEX(do_not_change__calculation_memo!$I$4:$I$17,MATCH(1,(do_not_change__calculation_memo!$B$4:$B$17=B4)*(do_not_change__calculation_memo!$C$4:$C$17="Venda"),0)),"")</f>
        <v/>
      </c>
      <c r="F4" s="76">
        <f>input!G16</f>
        <v/>
      </c>
      <c r="G4" s="76">
        <f>IFERROR(IF(B4="","",D4*F4-D4*E4),0)</f>
        <v/>
      </c>
      <c r="H4" s="77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2.75" customHeight="1" s="85">
      <c r="A5" s="1" t="n"/>
      <c r="B5" s="74">
        <f>input!B17</f>
        <v/>
      </c>
      <c r="C5" s="55">
        <f>IF(B5="","", "Cálculo")</f>
        <v/>
      </c>
      <c r="D5" s="75">
        <f>input!D17</f>
        <v/>
      </c>
      <c r="E5" s="76">
        <f t="array" ref="E5">IFERROR(INDEX(do_not_change__calculation_memo!$I$4:$I$17,MATCH(1,(do_not_change__calculation_memo!$B$4:$B$17=B5)*(do_not_change__calculation_memo!$C$4:$C$17="Venda"),0)),"")</f>
        <v/>
      </c>
      <c r="F5" s="76">
        <f>input!G17</f>
        <v/>
      </c>
      <c r="G5" s="76">
        <f>IFERROR(IF(B5="","",D5*F5-D5*E5),0)</f>
        <v/>
      </c>
      <c r="H5" s="77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2.75" customHeight="1" s="85">
      <c r="A6" s="1" t="n"/>
      <c r="B6" s="74">
        <f>input!B18</f>
        <v/>
      </c>
      <c r="C6" s="55">
        <f>IF(B6="","", "Cálculo")</f>
        <v/>
      </c>
      <c r="D6" s="75">
        <f>input!D18</f>
        <v/>
      </c>
      <c r="E6" s="76">
        <f t="array" ref="E6">IFERROR(INDEX(do_not_change__calculation_memo!$I$4:$I$17,MATCH(1,(do_not_change__calculation_memo!$B$4:$B$17=B6)*(do_not_change__calculation_memo!$C$4:$C$17="Venda"),0)),"")</f>
        <v/>
      </c>
      <c r="F6" s="76">
        <f>input!G18</f>
        <v/>
      </c>
      <c r="G6" s="76">
        <f>IFERROR(IF(B6="","",D6*F6-D6*E6),0)</f>
        <v/>
      </c>
      <c r="H6" s="77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2.75" customHeight="1" s="85">
      <c r="A7" s="1" t="n"/>
      <c r="B7" s="74">
        <f>input!B19</f>
        <v/>
      </c>
      <c r="C7" s="55">
        <f>IF(B7="","", "Cálculo")</f>
        <v/>
      </c>
      <c r="D7" s="75">
        <f>input!D19</f>
        <v/>
      </c>
      <c r="E7" s="76">
        <f t="array" ref="E7">IFERROR(INDEX(do_not_change__calculation_memo!$I$4:$I$17,MATCH(1,(do_not_change__calculation_memo!$B$4:$B$17=B7)*(do_not_change__calculation_memo!$C$4:$C$17="Venda"),0)),"")</f>
        <v/>
      </c>
      <c r="F7" s="76">
        <f>input!G19</f>
        <v/>
      </c>
      <c r="G7" s="76">
        <f>IFERROR(IF(B7="","",D7*F7-D7*E7),0)</f>
        <v/>
      </c>
      <c r="H7" s="77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2.75" customHeight="1" s="85">
      <c r="A8" s="1" t="n"/>
      <c r="B8" s="74">
        <f>input!B20</f>
        <v/>
      </c>
      <c r="C8" s="55">
        <f>IF(B8="","", "Cálculo")</f>
        <v/>
      </c>
      <c r="D8" s="75">
        <f>input!D20</f>
        <v/>
      </c>
      <c r="E8" s="76">
        <f t="array" ref="E8">IFERROR(INDEX(do_not_change__calculation_memo!$I$4:$I$17,MATCH(1,(do_not_change__calculation_memo!$B$4:$B$17=B8)*(do_not_change__calculation_memo!$C$4:$C$17="Venda"),0)),"")</f>
        <v/>
      </c>
      <c r="F8" s="76">
        <f>input!G20</f>
        <v/>
      </c>
      <c r="G8" s="76">
        <f>IFERROR(IF(B8="","",D8*F8-D8*E8),0)</f>
        <v/>
      </c>
      <c r="H8" s="77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 ht="12.75" customHeight="1" s="85">
      <c r="A9" s="1" t="n"/>
      <c r="B9" s="74">
        <f>input!B21</f>
        <v/>
      </c>
      <c r="C9" s="55">
        <f>IF(B9="","", "Cálculo")</f>
        <v/>
      </c>
      <c r="D9" s="75">
        <f>input!D21</f>
        <v/>
      </c>
      <c r="E9" s="76">
        <f t="array" ref="E9">IFERROR(INDEX(do_not_change__calculation_memo!$I$4:$I$17,MATCH(1,(do_not_change__calculation_memo!$B$4:$B$17=B9)*(do_not_change__calculation_memo!$C$4:$C$17="Venda"),0)),"")</f>
        <v/>
      </c>
      <c r="F9" s="76">
        <f>input!G21</f>
        <v/>
      </c>
      <c r="G9" s="76">
        <f>IFERROR(IF(B9="","",D9*F9-D9*E9),0)</f>
        <v/>
      </c>
      <c r="H9" s="77" t="n"/>
      <c r="I9" s="1" t="n"/>
      <c r="J9" s="1" t="n"/>
      <c r="L9" s="6" t="n"/>
      <c r="M9" s="6" t="n"/>
      <c r="N9" s="6" t="n"/>
      <c r="O9" s="78" t="n"/>
      <c r="S9" s="79" t="n"/>
      <c r="T9" s="6" t="n"/>
      <c r="U9" s="6" t="n"/>
      <c r="V9" s="6" t="n"/>
      <c r="W9" s="1" t="n"/>
      <c r="X9" s="1" t="n"/>
      <c r="Y9" s="1" t="n"/>
      <c r="Z9" s="1" t="n"/>
      <c r="AA9" s="1" t="n"/>
      <c r="AB9" s="1" t="n"/>
    </row>
    <row r="10" ht="12.75" customHeight="1" s="85">
      <c r="A10" s="1" t="n"/>
      <c r="B10" s="74">
        <f>input!B22</f>
        <v/>
      </c>
      <c r="C10" s="55">
        <f>IF(B10="","", "Cálculo")</f>
        <v/>
      </c>
      <c r="D10" s="75">
        <f>input!D22</f>
        <v/>
      </c>
      <c r="E10" s="76">
        <f t="array" ref="E10">IFERROR(INDEX(do_not_change__calculation_memo!$I$4:$I$17,MATCH(1,(do_not_change__calculation_memo!$B$4:$B$17=B10)*(do_not_change__calculation_memo!$C$4:$C$17="Venda"),0)),"")</f>
        <v/>
      </c>
      <c r="F10" s="76">
        <f>input!G22</f>
        <v/>
      </c>
      <c r="G10" s="76">
        <f>IFERROR(IF(B10="","",D10*F10-D10*E10),0)</f>
        <v/>
      </c>
      <c r="H10" s="77" t="n"/>
      <c r="Z10" s="1" t="n"/>
      <c r="AA10" s="1" t="n"/>
      <c r="AB10" s="1" t="n"/>
    </row>
    <row r="11" ht="12.75" customHeight="1" s="85">
      <c r="A11" s="1" t="n"/>
      <c r="B11" s="74">
        <f>input!B23</f>
        <v/>
      </c>
      <c r="C11" s="55">
        <f>IF(B11="","", "Cálculo")</f>
        <v/>
      </c>
      <c r="D11" s="75">
        <f>input!D23</f>
        <v/>
      </c>
      <c r="E11" s="76">
        <f t="array" ref="E11">IFERROR(INDEX(do_not_change__calculation_memo!$I$4:$I$17,MATCH(1,(do_not_change__calculation_memo!$B$4:$B$17=B11)*(do_not_change__calculation_memo!$C$4:$C$17="Venda"),0)),"")</f>
        <v/>
      </c>
      <c r="F11" s="76">
        <f>input!G23</f>
        <v/>
      </c>
      <c r="G11" s="76">
        <f>IFERROR(IF(B11="","",D11*F11-D11*E11),0)</f>
        <v/>
      </c>
      <c r="H11" s="77" t="n"/>
      <c r="Z11" s="1" t="n"/>
      <c r="AA11" s="1" t="n"/>
      <c r="AB11" s="1" t="n"/>
    </row>
    <row r="12" ht="12.75" customHeight="1" s="85">
      <c r="A12" s="1" t="n"/>
      <c r="B12" s="74">
        <f>input!B24</f>
        <v/>
      </c>
      <c r="C12" s="55">
        <f>IF(B12="","", "Cálculo")</f>
        <v/>
      </c>
      <c r="D12" s="75">
        <f>input!D24</f>
        <v/>
      </c>
      <c r="E12" s="76">
        <f t="array" ref="E12">IFERROR(INDEX(do_not_change__calculation_memo!$I$4:$I$17,MATCH(1,(do_not_change__calculation_memo!$B$4:$B$17=B12)*(do_not_change__calculation_memo!$C$4:$C$17="Venda"),0)),"")</f>
        <v/>
      </c>
      <c r="F12" s="76">
        <f>input!G24</f>
        <v/>
      </c>
      <c r="G12" s="76">
        <f>IFERROR(IF(B12="","",D12*F12-D12*E12),0)</f>
        <v/>
      </c>
      <c r="H12" s="77" t="n"/>
      <c r="W12" s="1" t="n"/>
      <c r="X12" s="1" t="n"/>
      <c r="Y12" s="1" t="n"/>
      <c r="Z12" s="1" t="n"/>
      <c r="AA12" s="1" t="n"/>
      <c r="AB12" s="1" t="n"/>
    </row>
    <row r="13" ht="12.75" customHeight="1" s="85">
      <c r="A13" s="1" t="n"/>
      <c r="B13" s="74">
        <f>input!B25</f>
        <v/>
      </c>
      <c r="C13" s="55">
        <f>IF(B13="","", "Cálculo")</f>
        <v/>
      </c>
      <c r="D13" s="75">
        <f>input!D25</f>
        <v/>
      </c>
      <c r="E13" s="76">
        <f t="array" ref="E13">IFERROR(INDEX(do_not_change__calculation_memo!$I$4:$I$17,MATCH(1,(do_not_change__calculation_memo!$B$4:$B$17=B13)*(do_not_change__calculation_memo!$C$4:$C$17="Venda"),0)),"")</f>
        <v/>
      </c>
      <c r="F13" s="76">
        <f>input!G25</f>
        <v/>
      </c>
      <c r="G13" s="76">
        <f>IFERROR(IF(B13="","",D13*F13-D13*E13),0)</f>
        <v/>
      </c>
      <c r="H13" s="77" t="n"/>
      <c r="Z13" s="1" t="n"/>
      <c r="AA13" s="1" t="n"/>
      <c r="AB13" s="1" t="n"/>
    </row>
    <row r="14" ht="12.75" customHeight="1" s="85">
      <c r="A14" s="1" t="n"/>
      <c r="B14" s="77" t="n"/>
      <c r="C14" s="77" t="n"/>
      <c r="D14" s="77" t="n"/>
      <c r="E14" s="77" t="n"/>
      <c r="F14" s="77" t="n"/>
      <c r="G14" s="77" t="n"/>
      <c r="H14" s="77" t="n"/>
      <c r="Z14" s="1" t="n"/>
      <c r="AA14" s="1" t="n"/>
      <c r="AB14" s="1" t="n"/>
    </row>
    <row r="15" ht="12.75" customHeight="1" s="85">
      <c r="A15" s="73" t="n"/>
      <c r="B15" s="2" t="inlineStr">
        <is>
          <t>Information for current declaration (2025) - Assets and Rights</t>
        </is>
      </c>
      <c r="C15" s="86" t="n"/>
      <c r="D15" s="86" t="n"/>
      <c r="E15" s="86" t="n"/>
      <c r="F15" s="86" t="n"/>
      <c r="G15" s="87" t="inlineStr">
        <is>
          <t>Detalhe no campo 'Discriminação'</t>
        </is>
      </c>
      <c r="H15" s="88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73" t="n"/>
      <c r="X15" s="73" t="n"/>
      <c r="Y15" s="73" t="n"/>
      <c r="Z15" s="73" t="n"/>
      <c r="AA15" s="73" t="n"/>
      <c r="AB15" s="73" t="n"/>
    </row>
    <row r="16" ht="12.75" customHeight="1" s="85">
      <c r="A16" s="73" t="n"/>
      <c r="B16" s="7" t="inlineStr">
        <is>
          <t>date</t>
        </is>
      </c>
      <c r="C16" s="7" t="inlineStr">
        <is>
          <t>event</t>
        </is>
      </c>
      <c r="D16" s="7" t="inlineStr">
        <is>
          <t>final_quantity</t>
        </is>
      </c>
      <c r="E16" s="7" t="inlineStr">
        <is>
          <t>final_avg_price_brl</t>
        </is>
      </c>
      <c r="F16" s="80" t="inlineStr">
        <is>
          <t>position_2025_12_31_brl</t>
        </is>
      </c>
      <c r="G16" s="7" t="inlineStr">
        <is>
          <t>avg_cost_usd</t>
        </is>
      </c>
      <c r="H16" s="7" t="inlineStr">
        <is>
          <t>total_cost_usd</t>
        </is>
      </c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73" t="n"/>
      <c r="X16" s="73" t="n"/>
      <c r="Y16" s="73" t="n"/>
      <c r="Z16" s="73" t="n"/>
      <c r="AA16" s="73" t="n"/>
      <c r="AB16" s="73" t="n"/>
    </row>
    <row r="17" ht="12.75" customHeight="1" s="85">
      <c r="A17" s="1" t="n"/>
      <c r="B17" s="74" t="n">
        <v>46022</v>
      </c>
      <c r="C17" s="26" t="inlineStr">
        <is>
          <t>Cálculo</t>
        </is>
      </c>
      <c r="D17" s="81">
        <f t="array" ref="D17">INDEX(do_not_change__calculation_memo!$N$4:$N$17,MATCH(B17,do_not_change__calculation_memo!$B$4:$B$17,1))</f>
        <v/>
      </c>
      <c r="E17" s="76">
        <f>F17/D17</f>
        <v/>
      </c>
      <c r="F17" s="76">
        <f t="array" ref="F17">INDEX(do_not_change__calculation_memo!$R$4:$R$17,MATCH(B17,do_not_change__calculation_memo!$B$4:$B$17,1))</f>
        <v/>
      </c>
      <c r="G17" s="82">
        <f>H17/D17</f>
        <v/>
      </c>
      <c r="H17" s="82">
        <f t="array" ref="H17">INDEX(do_not_change__calculation_memo!$V$4:$V$17,MATCH(B17,do_not_change__calculation_memo!$B$4:$B$17,1))</f>
        <v/>
      </c>
      <c r="W17" s="1" t="n"/>
      <c r="X17" s="1" t="n"/>
      <c r="Y17" s="1" t="n"/>
      <c r="Z17" s="1" t="n"/>
      <c r="AA17" s="1" t="n"/>
      <c r="AB17" s="1" t="n"/>
    </row>
    <row r="18" ht="12.75" customHeight="1" s="85">
      <c r="A18" s="1" t="n"/>
      <c r="B18" s="77" t="n"/>
      <c r="C18" s="77" t="n"/>
      <c r="D18" s="77" t="n"/>
      <c r="E18" s="77" t="n"/>
      <c r="F18" s="77" t="n"/>
      <c r="G18" s="77" t="n"/>
      <c r="H18" s="77" t="n"/>
      <c r="W18" s="1" t="n"/>
      <c r="X18" s="1" t="n"/>
      <c r="Y18" s="1" t="n"/>
      <c r="Z18" s="1" t="n"/>
      <c r="AA18" s="1" t="n"/>
      <c r="AB18" s="1" t="n"/>
    </row>
    <row r="19" ht="12.75" customHeight="1" s="85">
      <c r="A19" s="1" t="n"/>
      <c r="B19" s="89" t="inlineStr">
        <is>
          <t>Capital gain assessment (in case of sale)</t>
        </is>
      </c>
      <c r="C19" s="86" t="n"/>
      <c r="D19" s="88" t="n"/>
      <c r="E19" s="77" t="n"/>
      <c r="F19" s="77" t="n"/>
      <c r="G19" s="77" t="n"/>
      <c r="H19" s="77" t="n"/>
      <c r="W19" s="1" t="n"/>
      <c r="X19" s="1" t="n"/>
      <c r="Y19" s="1" t="n"/>
      <c r="Z19" s="1" t="n"/>
      <c r="AA19" s="1" t="n"/>
      <c r="AB19" s="1" t="n"/>
    </row>
    <row r="20" ht="12.75" customHeight="1" s="85">
      <c r="A20" s="1" t="n"/>
      <c r="B20" s="49" t="inlineStr">
        <is>
          <t>total_profit_or_loss_brl</t>
        </is>
      </c>
      <c r="C20" s="86" t="n"/>
      <c r="D20" s="88" t="n"/>
      <c r="E20" s="77" t="n"/>
      <c r="F20" s="77" t="n"/>
      <c r="G20" s="77" t="n"/>
      <c r="H20" s="77" t="n"/>
      <c r="W20" s="1" t="n"/>
      <c r="X20" s="1" t="n"/>
      <c r="Y20" s="1" t="n"/>
      <c r="Z20" s="1" t="n"/>
      <c r="AA20" s="1" t="n"/>
      <c r="AB20" s="1" t="n"/>
    </row>
    <row r="21" ht="12.75" customHeight="1" s="85">
      <c r="A21" s="1" t="n"/>
      <c r="B21" s="54">
        <f>SUM($G$4:$G$13)</f>
        <v/>
      </c>
      <c r="C21" s="86" t="n"/>
      <c r="D21" s="88" t="n"/>
      <c r="E21" s="77" t="n"/>
      <c r="F21" s="77" t="n"/>
      <c r="G21" s="77" t="n"/>
      <c r="H21" s="77" t="n"/>
      <c r="W21" s="1" t="n"/>
      <c r="X21" s="1" t="n"/>
      <c r="Y21" s="1" t="n"/>
      <c r="Z21" s="1" t="n"/>
      <c r="AA21" s="1" t="n"/>
      <c r="AB21" s="1" t="n"/>
    </row>
    <row r="22" ht="12.75" customHeight="1" s="85">
      <c r="A22" s="1" t="n"/>
      <c r="B22" s="77" t="n"/>
      <c r="C22" s="77" t="n"/>
      <c r="D22" s="77" t="n"/>
      <c r="E22" s="77" t="n"/>
      <c r="F22" s="77" t="n"/>
      <c r="G22" s="77" t="n"/>
      <c r="H22" s="77" t="n"/>
      <c r="W22" s="1" t="n"/>
      <c r="X22" s="1" t="n"/>
      <c r="Y22" s="1" t="n"/>
      <c r="Z22" s="1" t="n"/>
      <c r="AA22" s="1" t="n"/>
      <c r="AB22" s="1" t="n"/>
    </row>
    <row r="23" ht="12.75" customHeight="1" s="85">
      <c r="A23" s="1" t="n"/>
      <c r="B23" s="77" t="n"/>
      <c r="C23" s="77" t="n"/>
      <c r="D23" s="77" t="n"/>
      <c r="E23" s="77" t="n"/>
      <c r="F23" s="77" t="n"/>
      <c r="G23" s="77" t="n"/>
      <c r="H23" s="77" t="n"/>
      <c r="W23" s="1" t="n"/>
      <c r="X23" s="1" t="n"/>
      <c r="Y23" s="1" t="n"/>
      <c r="Z23" s="1" t="n"/>
      <c r="AA23" s="1" t="n"/>
      <c r="AB23" s="1" t="n"/>
    </row>
    <row r="24" ht="12.75" customHeight="1" s="85">
      <c r="A24" s="1" t="n"/>
      <c r="B24" s="77" t="n"/>
      <c r="C24" s="77" t="n"/>
      <c r="D24" s="77" t="n"/>
      <c r="E24" s="77" t="n"/>
      <c r="F24" s="77" t="n"/>
      <c r="G24" s="77" t="n"/>
      <c r="H24" s="77" t="n"/>
      <c r="W24" s="1" t="n"/>
      <c r="X24" s="1" t="n"/>
      <c r="Y24" s="1" t="n"/>
      <c r="Z24" s="1" t="n"/>
      <c r="AA24" s="1" t="n"/>
      <c r="AB24" s="1" t="n"/>
    </row>
    <row r="25" ht="12.75" customHeight="1" s="85">
      <c r="A25" s="1" t="n"/>
      <c r="B25" s="77" t="n"/>
      <c r="C25" s="77" t="n"/>
      <c r="D25" s="77" t="n"/>
      <c r="E25" s="77" t="n"/>
      <c r="F25" s="77" t="n"/>
      <c r="G25" s="77" t="n"/>
      <c r="H25" s="77" t="n"/>
      <c r="W25" s="1" t="n"/>
      <c r="X25" s="1" t="n"/>
      <c r="Y25" s="1" t="n"/>
      <c r="Z25" s="1" t="n"/>
      <c r="AA25" s="1" t="n"/>
      <c r="AB25" s="1" t="n"/>
    </row>
    <row r="26" ht="12.75" customHeight="1" s="8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12.75" customHeight="1" s="8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12.75" customHeight="1" s="8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12.75" customHeight="1" s="8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12.75" customHeight="1" s="8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2.75" customHeight="1" s="8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12.75" customHeight="1" s="8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12.75" customHeight="1" s="8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12.75" customHeight="1" s="8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12.75" customHeight="1" s="8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12.75" customHeight="1" s="8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12.75" customHeight="1" s="8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12.75" customHeight="1" s="8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12.75" customHeight="1" s="8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t="12.75" customHeight="1" s="8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 ht="12.75" customHeight="1" s="8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ht="12.75" customHeight="1" s="8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ht="12.75" customHeight="1" s="8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ht="12.75" customHeight="1" s="8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 ht="12.75" customHeight="1" s="8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 ht="12.75" customHeight="1" s="8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 ht="12.75" customHeight="1" s="8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 ht="12.75" customHeight="1" s="8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t="12.75" customHeight="1" s="8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t="12.75" customHeight="1" s="8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t="12.75" customHeight="1" s="8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t="12.75" customHeight="1" s="8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t="12.75" customHeight="1" s="8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t="12.75" customHeight="1" s="8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t="12.75" customHeight="1" s="8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 ht="12.75" customHeight="1" s="8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t="12.75" customHeight="1" s="8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t="12.75" customHeight="1" s="8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 ht="12.75" customHeight="1" s="8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 ht="12.75" customHeight="1" s="8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 ht="12.75" customHeight="1" s="8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 ht="12.75" customHeight="1" s="8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 ht="12.75" customHeight="1" s="8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t="12.75" customHeight="1" s="8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t="12.75" customHeight="1" s="8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t="12.75" customHeight="1" s="8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t="12.75" customHeight="1" s="8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t="12.75" customHeight="1" s="8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t="12.75" customHeight="1" s="8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 ht="12.75" customHeight="1" s="8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t="12.75" customHeight="1" s="8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t="12.75" customHeight="1" s="8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t="12.75" customHeight="1" s="8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t="12.75" customHeight="1" s="8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t="12.75" customHeight="1" s="8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t="12.75" customHeight="1" s="8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t="12.75" customHeight="1" s="8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t="12.75" customHeight="1" s="8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12.75" customHeight="1" s="8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12.75" customHeight="1" s="8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12.75" customHeight="1" s="8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12.75" customHeight="1" s="8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12.75" customHeight="1" s="8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2.75" customHeight="1" s="8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t="12.75" customHeight="1" s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t="12.75" customHeight="1" s="8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t="12.75" customHeight="1" s="8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t="12.75" customHeight="1" s="8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t="12.75" customHeight="1" s="8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t="12.75" customHeight="1" s="8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t="12.75" customHeight="1" s="8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t="12.75" customHeight="1" s="8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t="12.75" customHeight="1" s="8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t="12.75" customHeight="1" s="8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t="12.75" customHeight="1" s="8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t="12.75" customHeight="1" s="8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t="12.75" customHeight="1" s="8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t="12.75" customHeight="1" s="8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t="12.75" customHeight="1" s="8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t="12.75" customHeight="1" s="8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t="12.75" customHeight="1" s="8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t="12.75" customHeight="1" s="8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t="12.75" customHeight="1" s="8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t="12.75" customHeight="1" s="8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t="12.75" customHeight="1" s="8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t="12.75" customHeight="1" s="8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t="12.75" customHeight="1" s="8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t="12.75" customHeight="1" s="8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t="12.75" customHeight="1" s="8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t="12.75" customHeight="1" s="8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t="12.75" customHeight="1" s="8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t="12.75" customHeight="1" s="8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12.75" customHeight="1" s="8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12.75" customHeight="1" s="8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t="12.75" customHeight="1" s="8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t="12.75" customHeight="1" s="8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t="12.75" customHeight="1" s="8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t="12.75" customHeight="1" s="8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t="12.75" customHeight="1" s="8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t="12.75" customHeight="1" s="8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t="12.75" customHeight="1" s="8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t="12.75" customHeight="1" s="8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t="12.75" customHeight="1" s="8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t="12.75" customHeight="1" s="8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t="12.75" customHeight="1" s="8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t="12.75" customHeight="1" s="8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t="12.75" customHeight="1" s="8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t="12.75" customHeight="1" s="8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t="12.75" customHeight="1" s="8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t="12.75" customHeight="1" s="8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t="12.75" customHeight="1" s="8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t="12.75" customHeight="1" s="8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t="12.75" customHeight="1" s="8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t="12.75" customHeight="1" s="8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t="12.75" customHeight="1" s="8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t="12.75" customHeight="1" s="8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t="12.75" customHeight="1" s="8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t="12.75" customHeight="1" s="8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t="12.75" customHeight="1" s="8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t="12.75" customHeight="1" s="8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t="12.75" customHeight="1" s="8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t="12.75" customHeight="1" s="8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t="12.75" customHeight="1" s="8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t="12.75" customHeight="1" s="8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t="12.75" customHeight="1" s="8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t="12.75" customHeight="1" s="8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t="12.75" customHeight="1" s="8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t="12.75" customHeight="1" s="8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t="12.75" customHeight="1" s="8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t="12.75" customHeight="1" s="8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t="12.75" customHeight="1" s="8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t="12.75" customHeight="1" s="8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t="12.75" customHeight="1" s="8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t="12.75" customHeight="1" s="8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t="12.75" customHeight="1" s="8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t="12.75" customHeight="1" s="8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t="12.75" customHeight="1" s="8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t="12.75" customHeight="1" s="8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t="12.75" customHeight="1" s="8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t="12.75" customHeight="1" s="8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t="12.75" customHeight="1" s="8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t="12.75" customHeight="1" s="8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t="12.75" customHeight="1" s="8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t="12.75" customHeight="1" s="8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t="12.75" customHeight="1" s="8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t="12.75" customHeight="1" s="8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t="12.75" customHeight="1" s="8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t="12.75" customHeight="1" s="8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t="12.75" customHeight="1" s="8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t="12.75" customHeight="1" s="8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t="12.75" customHeight="1" s="8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t="12.75" customHeight="1" s="8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t="12.75" customHeight="1" s="8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t="12.75" customHeight="1" s="8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t="12.75" customHeight="1" s="8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t="12.75" customHeight="1" s="8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t="12.75" customHeight="1" s="8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t="12.75" customHeight="1" s="8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t="12.75" customHeight="1" s="8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t="12.75" customHeight="1" s="8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t="12.75" customHeight="1" s="8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t="12.75" customHeight="1" s="8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t="12.75" customHeight="1" s="8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t="12.75" customHeight="1" s="8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t="12.75" customHeight="1" s="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t="12.75" customHeight="1" s="8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t="12.75" customHeight="1" s="8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t="12.75" customHeight="1" s="8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t="12.75" customHeight="1" s="8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t="12.75" customHeight="1" s="8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t="12.75" customHeight="1" s="8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t="12.75" customHeight="1" s="8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t="12.75" customHeight="1" s="8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t="12.75" customHeight="1" s="8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t="12.75" customHeight="1" s="8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t="12.75" customHeight="1" s="8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t="12.75" customHeight="1" s="8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t="12.75" customHeight="1" s="8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t="12.75" customHeight="1" s="8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t="12.75" customHeight="1" s="8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t="12.75" customHeight="1" s="8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t="12.75" customHeight="1" s="8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t="12.75" customHeight="1" s="8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t="12.75" customHeight="1" s="8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t="12.75" customHeight="1" s="8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t="12.75" customHeight="1" s="8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t="12.75" customHeight="1" s="8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t="12.75" customHeight="1" s="8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t="12.75" customHeight="1" s="8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t="12.75" customHeight="1" s="8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t="12.75" customHeight="1" s="8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t="12.75" customHeight="1" s="8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t="12.75" customHeight="1" s="8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t="12.75" customHeight="1" s="8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t="12.75" customHeight="1" s="8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t="12.75" customHeight="1" s="8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t="12.75" customHeight="1" s="8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t="12.75" customHeight="1" s="8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t="12.75" customHeight="1" s="8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t="12.75" customHeight="1" s="8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t="12.75" customHeight="1" s="8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7">
    <mergeCell ref="O9:R9"/>
    <mergeCell ref="B2:G2"/>
    <mergeCell ref="B19:D19"/>
    <mergeCell ref="B15:F15"/>
    <mergeCell ref="G15:H15"/>
    <mergeCell ref="B21:D21"/>
    <mergeCell ref="B20:D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2026-05-27T02:14:45Z</dcterms:created>
  <dcterms:modified xsi:type="dcterms:W3CDTF">2026-05-27T02:43:07Z</dcterms:modified>
</cp:coreProperties>
</file>